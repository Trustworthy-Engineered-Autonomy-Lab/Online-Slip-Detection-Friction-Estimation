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am Track 1" sheetId="1" r:id="rId5"/>
    <sheet state="visible" name="Assam Track 2" sheetId="2" r:id="rId6"/>
    <sheet state="visible" name="Assam Track 3" sheetId="3" r:id="rId7"/>
    <sheet state="visible" name="All Comparisons" sheetId="4" r:id="rId8"/>
  </sheets>
  <definedNames/>
  <calcPr/>
</workbook>
</file>

<file path=xl/sharedStrings.xml><?xml version="1.0" encoding="utf-8"?>
<sst xmlns="http://schemas.openxmlformats.org/spreadsheetml/2006/main" count="305" uniqueCount="105">
  <si>
    <t>Assam Track 1</t>
  </si>
  <si>
    <t>notes:</t>
  </si>
  <si>
    <t>Bag Number</t>
  </si>
  <si>
    <t>Throttle Start (Video)</t>
  </si>
  <si>
    <t>Thr Start (Bag, Sec)</t>
  </si>
  <si>
    <t>Thr Start (Bag, Nano)</t>
  </si>
  <si>
    <t>Video-Bag Offset</t>
  </si>
  <si>
    <t>Surface</t>
  </si>
  <si>
    <t>Time (Video)</t>
  </si>
  <si>
    <t>Time (Bag)</t>
  </si>
  <si>
    <t>Offset (s)</t>
  </si>
  <si>
    <t>Mu Value</t>
  </si>
  <si>
    <t>Mu Value From Folds</t>
  </si>
  <si>
    <r>
      <rPr/>
      <t xml:space="preserve">using </t>
    </r>
    <r>
      <rPr>
        <color rgb="FF1155CC"/>
        <u/>
      </rPr>
      <t>https://github.com/mpc-hc/mpc-hc</t>
    </r>
    <r>
      <rPr/>
      <t xml:space="preserve"> to open the videos and see the high-precision time</t>
    </r>
  </si>
  <si>
    <t>Bag 1</t>
  </si>
  <si>
    <t>Cardboard</t>
  </si>
  <si>
    <t>Acrylic</t>
  </si>
  <si>
    <t>Average</t>
  </si>
  <si>
    <t>Tile</t>
  </si>
  <si>
    <t>Bag 2</t>
  </si>
  <si>
    <t>Bag 3</t>
  </si>
  <si>
    <t>Offset</t>
  </si>
  <si>
    <t>offset specific</t>
  </si>
  <si>
    <t>Bag 4</t>
  </si>
  <si>
    <t>cardboard</t>
  </si>
  <si>
    <t>offset Calculation (with ABS)</t>
  </si>
  <si>
    <t>Offset (WITHOUT ABS)</t>
  </si>
  <si>
    <t>Bag 5</t>
  </si>
  <si>
    <t>TILE</t>
  </si>
  <si>
    <t>CARDBOARD</t>
  </si>
  <si>
    <t>ACRYLIC</t>
  </si>
  <si>
    <t>Track 1 Values</t>
  </si>
  <si>
    <t>Track 1</t>
  </si>
  <si>
    <t>Bag 6</t>
  </si>
  <si>
    <t>Bag 7</t>
  </si>
  <si>
    <t>Bag 8</t>
  </si>
  <si>
    <t>Bag 9</t>
  </si>
  <si>
    <t>Bag 10</t>
  </si>
  <si>
    <t>Bag 11</t>
  </si>
  <si>
    <t>Bag 12</t>
  </si>
  <si>
    <t>Track 2 Values</t>
  </si>
  <si>
    <t>Track 2</t>
  </si>
  <si>
    <t>Bag 13</t>
  </si>
  <si>
    <t>Bag 14</t>
  </si>
  <si>
    <t>Bag 15</t>
  </si>
  <si>
    <t>Bag 16</t>
  </si>
  <si>
    <t>Bag 17</t>
  </si>
  <si>
    <t>Track 3</t>
  </si>
  <si>
    <t>Bag 18</t>
  </si>
  <si>
    <t>Bag 19</t>
  </si>
  <si>
    <t>Bag 20</t>
  </si>
  <si>
    <t>Standard Deviaiton</t>
  </si>
  <si>
    <t>Variance</t>
  </si>
  <si>
    <r>
      <rPr/>
      <t xml:space="preserve">using </t>
    </r>
    <r>
      <rPr>
        <color rgb="FF1155CC"/>
        <u/>
      </rPr>
      <t>https://github.com/mpc-hc/mpc-hc</t>
    </r>
    <r>
      <rPr/>
      <t xml:space="preserve"> to open the videos and see the high-precision time</t>
    </r>
  </si>
  <si>
    <t>calling these FALSE POSITIVES</t>
  </si>
  <si>
    <t>Assam Track 3</t>
  </si>
  <si>
    <t>Bag1</t>
  </si>
  <si>
    <t>Bag2</t>
  </si>
  <si>
    <t>Bag3</t>
  </si>
  <si>
    <t>FALSE POSITVE</t>
  </si>
  <si>
    <t>Bag4</t>
  </si>
  <si>
    <t>Bag5</t>
  </si>
  <si>
    <t>Bag6</t>
  </si>
  <si>
    <t>Bag7</t>
  </si>
  <si>
    <t>Bag8</t>
  </si>
  <si>
    <t>Bag9</t>
  </si>
  <si>
    <t>Bag10</t>
  </si>
  <si>
    <t>Bag11</t>
  </si>
  <si>
    <t>Bag12</t>
  </si>
  <si>
    <t>Bag13</t>
  </si>
  <si>
    <t>Bag14</t>
  </si>
  <si>
    <t>Bag15</t>
  </si>
  <si>
    <t>Bag16</t>
  </si>
  <si>
    <t>Bag17</t>
  </si>
  <si>
    <t>Bag18</t>
  </si>
  <si>
    <t>Bag19</t>
  </si>
  <si>
    <t>Bag20</t>
  </si>
  <si>
    <t>Assam</t>
  </si>
  <si>
    <t>Surfaces/Offset</t>
  </si>
  <si>
    <t>Ground Truth</t>
  </si>
  <si>
    <t>Mu</t>
  </si>
  <si>
    <t>Percentage DIff</t>
  </si>
  <si>
    <t>Percentage Diff</t>
  </si>
  <si>
    <t>Average offset</t>
  </si>
  <si>
    <t>Standard Deviation</t>
  </si>
  <si>
    <t>Old (before at3)</t>
  </si>
  <si>
    <t>Offset Tile</t>
  </si>
  <si>
    <t>0.409 ± 0.641</t>
  </si>
  <si>
    <t>Offset Cardboard</t>
  </si>
  <si>
    <t>0.498 ± 0.590</t>
  </si>
  <si>
    <t>Offset Acrylic</t>
  </si>
  <si>
    <t>0.579 ± 0.609</t>
  </si>
  <si>
    <t>*note these are keemun ground truth</t>
  </si>
  <si>
    <t>calculations for offset done in the sheet: assam t1</t>
  </si>
  <si>
    <t>Statistical Metrics</t>
  </si>
  <si>
    <t>Precision</t>
  </si>
  <si>
    <t>Recall</t>
  </si>
  <si>
    <t>F1 Score</t>
  </si>
  <si>
    <t>REAL</t>
  </si>
  <si>
    <t>Cardboard: 0.116 ± 0.120</t>
  </si>
  <si>
    <t>Acrylic: 0.139 ± 0.097</t>
  </si>
  <si>
    <t>Tile: 0.042 ± 0.032</t>
  </si>
  <si>
    <t>Cardboard Mean: 1.038499731644643</t>
  </si>
  <si>
    <t>Acrylic Mean: 0.8604035172833333</t>
  </si>
  <si>
    <t>Tile Mean: 0.7142088705232144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</si>
</sst>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/>
    <font>
      <b/>
      <i/>
      <u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5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1" fillId="0" fontId="2" numFmtId="0" xfId="0" applyAlignment="1" applyBorder="1" applyFont="1">
      <alignment horizontal="center" readingOrder="0"/>
    </xf>
    <xf borderId="2" fillId="0" fontId="4" numFmtId="0" xfId="0" applyBorder="1" applyFont="1"/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0" fillId="0" fontId="1" numFmtId="0" xfId="0" applyAlignment="1" applyFont="1">
      <alignment horizontal="left" readingOrder="0"/>
    </xf>
    <xf borderId="7" fillId="0" fontId="1" numFmtId="0" xfId="0" applyAlignment="1" applyBorder="1" applyFont="1">
      <alignment readingOrder="0"/>
    </xf>
    <xf borderId="8" fillId="0" fontId="1" numFmtId="0" xfId="0" applyBorder="1" applyFont="1"/>
    <xf borderId="9" fillId="0" fontId="2" numFmtId="0" xfId="0" applyAlignment="1" applyBorder="1" applyFon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12" fillId="0" fontId="2" numFmtId="0" xfId="0" applyAlignment="1" applyBorder="1" applyFont="1">
      <alignment horizontal="center" readingOrder="0"/>
    </xf>
    <xf borderId="12" fillId="0" fontId="1" numFmtId="0" xfId="0" applyBorder="1" applyFont="1"/>
    <xf borderId="12" fillId="0" fontId="2" numFmtId="0" xfId="0" applyBorder="1" applyFont="1"/>
    <xf borderId="13" fillId="0" fontId="2" numFmtId="0" xfId="0" applyAlignment="1" applyBorder="1" applyFont="1">
      <alignment horizontal="center" readingOrder="0"/>
    </xf>
    <xf borderId="14" fillId="0" fontId="4" numFmtId="0" xfId="0" applyBorder="1" applyFont="1"/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12" fillId="0" fontId="2" numFmtId="0" xfId="0" applyAlignment="1" applyBorder="1" applyFont="1">
      <alignment readingOrder="0"/>
    </xf>
    <xf borderId="12" fillId="2" fontId="2" numFmtId="0" xfId="0" applyAlignment="1" applyBorder="1" applyFill="1" applyFont="1">
      <alignment readingOrder="0"/>
    </xf>
    <xf borderId="12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2" fillId="0" fontId="1" numFmtId="10" xfId="0" applyBorder="1" applyFont="1" applyNumberFormat="1"/>
    <xf borderId="12" fillId="0" fontId="1" numFmtId="0" xfId="0" applyAlignment="1" applyBorder="1" applyFont="1">
      <alignment horizontal="center" readingOrder="0"/>
    </xf>
    <xf borderId="12" fillId="0" fontId="1" numFmtId="164" xfId="0" applyBorder="1" applyFont="1" applyNumberFormat="1"/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mpc-hc/mpc-h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mpc-hc/mpc-hc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3" max="3" width="16.13"/>
    <col customWidth="1" min="4" max="4" width="17.75"/>
    <col customWidth="1" min="5" max="5" width="13.63"/>
    <col customWidth="1" min="11" max="11" width="19.5"/>
  </cols>
  <sheetData>
    <row r="1">
      <c r="A1" s="1" t="s">
        <v>0</v>
      </c>
      <c r="L1" s="1" t="s">
        <v>1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3" t="s">
        <v>13</v>
      </c>
    </row>
    <row r="3">
      <c r="A3" s="1" t="s">
        <v>14</v>
      </c>
      <c r="B3" s="1">
        <v>0.871</v>
      </c>
      <c r="C3" s="1">
        <v>1.770685225E9</v>
      </c>
      <c r="D3" s="1">
        <v>2.03076875E8</v>
      </c>
      <c r="E3" s="4">
        <f>(C3+(D3/1000000000) - B3)</f>
        <v>1770685224</v>
      </c>
      <c r="F3" s="1" t="s">
        <v>15</v>
      </c>
      <c r="G3" s="1">
        <v>3.797</v>
      </c>
      <c r="H3" s="1">
        <v>1.77068522929575E9</v>
      </c>
      <c r="I3" s="4">
        <f t="shared" ref="I3:I5" si="1">(H3-$E$3)-G3</f>
        <v>1.166673115</v>
      </c>
      <c r="J3" s="1">
        <v>0.8416</v>
      </c>
      <c r="K3" s="1">
        <v>0.841589970282459</v>
      </c>
    </row>
    <row r="4">
      <c r="F4" s="1" t="s">
        <v>16</v>
      </c>
      <c r="G4" s="1">
        <v>7.043</v>
      </c>
      <c r="H4" s="1">
        <v>1.77068523261237E9</v>
      </c>
      <c r="I4" s="4">
        <f t="shared" si="1"/>
        <v>1.237293226</v>
      </c>
      <c r="J4" s="1">
        <v>0.9127</v>
      </c>
      <c r="K4" s="1">
        <v>0.91273045483839</v>
      </c>
      <c r="N4" s="5" t="s">
        <v>17</v>
      </c>
      <c r="O4" s="6"/>
    </row>
    <row r="5">
      <c r="F5" s="1" t="s">
        <v>18</v>
      </c>
      <c r="G5" s="1">
        <v>10.368</v>
      </c>
      <c r="H5" s="1">
        <v>1.77068523551588E9</v>
      </c>
      <c r="I5" s="4">
        <f t="shared" si="1"/>
        <v>0.8158033199</v>
      </c>
      <c r="J5" s="1">
        <v>0.6961</v>
      </c>
      <c r="K5" s="1">
        <v>0.696093213366627</v>
      </c>
      <c r="N5" s="7" t="str">
        <f t="array" ref="N5:N8">UNIQUE(F3:F1000)</f>
        <v>Cardboard</v>
      </c>
      <c r="O5" s="8">
        <f t="shared" ref="O5:O7" si="2">AVERAGEIF($F$3:$F1000, N5, $J$3:$J1000)</f>
        <v>1.039647564</v>
      </c>
    </row>
    <row r="6">
      <c r="A6" s="1" t="s">
        <v>19</v>
      </c>
      <c r="B6" s="1">
        <v>0.01</v>
      </c>
      <c r="C6" s="1">
        <v>1.770685252E9</v>
      </c>
      <c r="D6" s="1">
        <v>4.7954463E7</v>
      </c>
      <c r="E6" s="4">
        <f>(C6+(D6/1000000000) - B6)</f>
        <v>1770685252</v>
      </c>
      <c r="F6" s="1" t="s">
        <v>15</v>
      </c>
      <c r="G6" s="1">
        <v>2.518</v>
      </c>
      <c r="H6" s="1">
        <v>1.77068525489175E9</v>
      </c>
      <c r="I6" s="4">
        <f t="shared" ref="I6:I8" si="3">(H6-$E$6)-G6</f>
        <v>0.3357955284</v>
      </c>
      <c r="J6" s="1">
        <v>1.1257</v>
      </c>
      <c r="K6" s="1">
        <v>1.12571183881261</v>
      </c>
      <c r="N6" s="9" t="s">
        <v>16</v>
      </c>
      <c r="O6" s="10">
        <f t="shared" si="2"/>
        <v>0.871040444</v>
      </c>
    </row>
    <row r="7">
      <c r="F7" s="1" t="s">
        <v>16</v>
      </c>
      <c r="G7" s="1">
        <v>5.561</v>
      </c>
      <c r="H7" s="1">
        <v>1.77068525799621E9</v>
      </c>
      <c r="I7" s="4">
        <f t="shared" si="3"/>
        <v>0.3972555294</v>
      </c>
      <c r="J7" s="1">
        <v>0.9802</v>
      </c>
      <c r="K7" s="1">
        <v>0.980156903241714</v>
      </c>
      <c r="M7" s="11"/>
      <c r="N7" s="9" t="s">
        <v>18</v>
      </c>
      <c r="O7" s="10">
        <f t="shared" si="2"/>
        <v>0.690969652</v>
      </c>
    </row>
    <row r="8">
      <c r="F8" s="1" t="s">
        <v>18</v>
      </c>
      <c r="G8" s="1">
        <v>10.3</v>
      </c>
      <c r="H8" s="1">
        <v>1.7706852624162E9</v>
      </c>
      <c r="I8" s="4">
        <f t="shared" si="3"/>
        <v>0.0782453537</v>
      </c>
      <c r="J8" s="1">
        <v>0.7117</v>
      </c>
      <c r="K8" s="1">
        <v>0.711716795966004</v>
      </c>
      <c r="M8" s="11"/>
      <c r="N8" s="9"/>
      <c r="O8" s="10"/>
    </row>
    <row r="9">
      <c r="A9" s="1" t="s">
        <v>20</v>
      </c>
      <c r="B9" s="1">
        <v>0.01</v>
      </c>
      <c r="C9" s="1">
        <v>1.770685276E9</v>
      </c>
      <c r="D9" s="1">
        <v>1.03463964E8</v>
      </c>
      <c r="E9" s="4">
        <f>(C9+(D9/1000000000) - B9)</f>
        <v>1770685276</v>
      </c>
      <c r="F9" s="1" t="s">
        <v>15</v>
      </c>
      <c r="G9" s="1">
        <v>1.962</v>
      </c>
      <c r="H9" s="1">
        <v>1.7706852780564E9</v>
      </c>
      <c r="I9" s="4">
        <f t="shared" ref="I9:I11" si="4">(H9-$E$9)-G9</f>
        <v>0.0009361629486</v>
      </c>
      <c r="J9" s="1">
        <v>1.1715</v>
      </c>
      <c r="K9" s="1">
        <v>1.17147255955851</v>
      </c>
      <c r="M9" s="11"/>
      <c r="N9" s="12" t="s">
        <v>21</v>
      </c>
      <c r="O9" s="13">
        <f>average(I3:I62)</f>
        <v>0.4190573214</v>
      </c>
    </row>
    <row r="10">
      <c r="F10" s="1" t="s">
        <v>16</v>
      </c>
      <c r="G10" s="1">
        <v>4.072</v>
      </c>
      <c r="H10" s="1">
        <v>1.77068528047676E9</v>
      </c>
      <c r="I10" s="4">
        <f t="shared" si="4"/>
        <v>0.3112960129</v>
      </c>
      <c r="J10" s="1">
        <v>0.86752</v>
      </c>
      <c r="K10" s="1">
        <v>0.867524411688849</v>
      </c>
    </row>
    <row r="11">
      <c r="F11" s="1" t="s">
        <v>18</v>
      </c>
      <c r="G11" s="1">
        <v>7.72</v>
      </c>
      <c r="H11" s="1">
        <v>1.77068528319206E9</v>
      </c>
      <c r="I11" s="4">
        <f t="shared" si="4"/>
        <v>-0.621403904</v>
      </c>
      <c r="J11" s="1">
        <v>0.72058</v>
      </c>
      <c r="K11" s="1">
        <v>0.720585260161636</v>
      </c>
      <c r="N11" s="1" t="s">
        <v>22</v>
      </c>
    </row>
    <row r="12">
      <c r="A12" s="1" t="s">
        <v>23</v>
      </c>
      <c r="B12" s="1">
        <v>0.865</v>
      </c>
      <c r="C12" s="1">
        <v>1.770685298E9</v>
      </c>
      <c r="D12" s="1">
        <v>2.14485609E8</v>
      </c>
      <c r="E12" s="4">
        <f>(C12+(D12/1000000000) - B12)</f>
        <v>1770685297</v>
      </c>
      <c r="F12" s="1" t="s">
        <v>15</v>
      </c>
      <c r="G12" s="1">
        <v>2.43</v>
      </c>
      <c r="H12" s="1">
        <v>1.77068530003416E9</v>
      </c>
      <c r="I12" s="4">
        <f t="shared" ref="I12:I14" si="5">(H12-$E$12)-G12</f>
        <v>0.254674263</v>
      </c>
      <c r="J12" s="1">
        <v>0.948637</v>
      </c>
      <c r="K12" s="1">
        <v>0.948637459914548</v>
      </c>
      <c r="M12" s="1" t="s">
        <v>24</v>
      </c>
      <c r="N12" s="4">
        <f>averageif($F$3:$F$62,$F$3,$I3:I$62)</f>
        <v>0.4550984776</v>
      </c>
    </row>
    <row r="13">
      <c r="F13" s="1" t="s">
        <v>16</v>
      </c>
      <c r="G13" s="1">
        <v>5.199</v>
      </c>
      <c r="H13" s="1">
        <v>1.77068530255187E9</v>
      </c>
      <c r="I13" s="4">
        <f t="shared" si="5"/>
        <v>0.003384471893</v>
      </c>
      <c r="J13" s="1">
        <v>1.07489</v>
      </c>
      <c r="K13" s="1">
        <v>1.07489736153455</v>
      </c>
    </row>
    <row r="14">
      <c r="F14" s="1" t="s">
        <v>18</v>
      </c>
      <c r="G14" s="1">
        <v>8.733</v>
      </c>
      <c r="H14" s="1">
        <v>1.77068530605229E9</v>
      </c>
      <c r="I14" s="4">
        <f t="shared" si="5"/>
        <v>-0.03019567299</v>
      </c>
      <c r="J14" s="1">
        <v>0.70145</v>
      </c>
      <c r="K14" s="1">
        <v>0.701458883776509</v>
      </c>
      <c r="N14" s="14" t="s">
        <v>25</v>
      </c>
      <c r="O14" s="15"/>
      <c r="P14" s="16"/>
      <c r="R14" s="1" t="s">
        <v>26</v>
      </c>
    </row>
    <row r="15">
      <c r="A15" s="1" t="s">
        <v>27</v>
      </c>
      <c r="B15" s="1">
        <v>-1.02</v>
      </c>
      <c r="C15" s="1">
        <v>1.770685322E9</v>
      </c>
      <c r="D15" s="1">
        <v>9.6266618E8</v>
      </c>
      <c r="E15" s="4">
        <f>(C15+(D15/1000000000) - B15)</f>
        <v>1770685324</v>
      </c>
      <c r="F15" s="1" t="s">
        <v>15</v>
      </c>
      <c r="G15" s="1">
        <v>1.299</v>
      </c>
      <c r="H15" s="1">
        <v>1.77068532497239E9</v>
      </c>
      <c r="I15" s="4">
        <f t="shared" ref="I15:I17" si="6">(H15-$E$15)-G15</f>
        <v>-0.3092763176</v>
      </c>
      <c r="J15" s="1">
        <v>1.0939</v>
      </c>
      <c r="K15" s="1">
        <v>1.09393376481177</v>
      </c>
      <c r="N15" s="17" t="s">
        <v>28</v>
      </c>
      <c r="O15" s="17" t="s">
        <v>29</v>
      </c>
      <c r="P15" s="17" t="s">
        <v>30</v>
      </c>
      <c r="R15" s="1" t="s">
        <v>18</v>
      </c>
      <c r="S15" s="1" t="s">
        <v>15</v>
      </c>
      <c r="T15" s="1" t="s">
        <v>16</v>
      </c>
    </row>
    <row r="16">
      <c r="F16" s="1" t="s">
        <v>16</v>
      </c>
      <c r="G16" s="1">
        <v>4.168</v>
      </c>
      <c r="H16" s="1">
        <v>1.77068532815744E9</v>
      </c>
      <c r="I16" s="4">
        <f t="shared" si="6"/>
        <v>0.006773693085</v>
      </c>
      <c r="J16" s="1">
        <v>0.91769</v>
      </c>
      <c r="K16" s="1">
        <v>0.917691020371785</v>
      </c>
      <c r="M16" s="2" t="s">
        <v>31</v>
      </c>
      <c r="N16" s="18">
        <f t="shared" ref="N16:P16" si="7">abs(R16)</f>
        <v>0.8158033199</v>
      </c>
      <c r="O16" s="18">
        <f t="shared" si="7"/>
        <v>1.166673115</v>
      </c>
      <c r="P16" s="18">
        <f t="shared" si="7"/>
        <v>1.237293226</v>
      </c>
      <c r="Q16" s="1" t="s">
        <v>32</v>
      </c>
      <c r="R16" s="1">
        <f>IFERROR(__xludf.DUMMYFUNCTION("FILTER(I:I, F:F=""Tile"", I:I)"),0.81580331993103)</f>
        <v>0.8158033199</v>
      </c>
      <c r="S16" s="4">
        <f>IFERROR(__xludf.DUMMYFUNCTION("FILTER(I:I, F:F=""Cardboard"")"),1.1666731147766112)</f>
        <v>1.166673115</v>
      </c>
      <c r="T16" s="4">
        <f>IFERROR(__xludf.DUMMYFUNCTION("FILTER(I:I, F:F=""Acrylic"")"),1.2372932262420653)</f>
        <v>1.237293226</v>
      </c>
    </row>
    <row r="17">
      <c r="F17" s="1" t="s">
        <v>18</v>
      </c>
      <c r="G17" s="1">
        <v>8.346</v>
      </c>
      <c r="H17" s="1">
        <v>1.77068533195232E9</v>
      </c>
      <c r="I17" s="4">
        <f t="shared" si="6"/>
        <v>-0.3763461552</v>
      </c>
      <c r="J17" s="1">
        <v>0.76308</v>
      </c>
      <c r="K17" s="1">
        <v>0.76308436584619</v>
      </c>
      <c r="N17" s="18">
        <f t="shared" ref="N17:P17" si="8">abs(R17)</f>
        <v>0.0782453537</v>
      </c>
      <c r="O17" s="18">
        <f t="shared" si="8"/>
        <v>0.3357955284</v>
      </c>
      <c r="P17" s="18">
        <f t="shared" si="8"/>
        <v>0.3972555294</v>
      </c>
      <c r="R17" s="1">
        <f>IFERROR(__xludf.DUMMYFUNCTION("""COMPUTED_VALUE"""),0.07824535369872976)</f>
        <v>0.0782453537</v>
      </c>
      <c r="S17" s="4">
        <f>IFERROR(__xludf.DUMMYFUNCTION("""COMPUTED_VALUE"""),0.33579552841186544)</f>
        <v>0.3357955284</v>
      </c>
      <c r="T17" s="4">
        <f>IFERROR(__xludf.DUMMYFUNCTION("""COMPUTED_VALUE"""),0.3972555294036866)</f>
        <v>0.3972555294</v>
      </c>
    </row>
    <row r="18">
      <c r="A18" s="1" t="s">
        <v>33</v>
      </c>
      <c r="B18" s="1">
        <v>0.127</v>
      </c>
      <c r="C18" s="1">
        <v>1.770685345E9</v>
      </c>
      <c r="D18" s="1">
        <v>7.95551213E8</v>
      </c>
      <c r="E18" s="4">
        <f>(C18+(D18/1000000000) - B18)</f>
        <v>1770685346</v>
      </c>
      <c r="F18" s="1" t="s">
        <v>15</v>
      </c>
      <c r="G18" s="1">
        <v>1.711</v>
      </c>
      <c r="H18" s="1">
        <v>1.77068534783754E9</v>
      </c>
      <c r="I18" s="4">
        <f t="shared" ref="I18:I20" si="10">(H18-$E$18)-G18</f>
        <v>0.4579887047</v>
      </c>
      <c r="J18" s="1">
        <v>1.22329</v>
      </c>
      <c r="K18" s="1">
        <v>1.22329843433499</v>
      </c>
      <c r="N18" s="18">
        <f t="shared" ref="N18:P18" si="9">abs(R18)</f>
        <v>0.621403904</v>
      </c>
      <c r="O18" s="18">
        <f t="shared" si="9"/>
        <v>0.0009361629486</v>
      </c>
      <c r="P18" s="18">
        <f t="shared" si="9"/>
        <v>0.3112960129</v>
      </c>
      <c r="R18" s="1">
        <f>IFERROR(__xludf.DUMMYFUNCTION("""COMPUTED_VALUE"""),-0.6214039039611814)</f>
        <v>-0.621403904</v>
      </c>
      <c r="S18" s="4">
        <f>IFERROR(__xludf.DUMMYFUNCTION("""COMPUTED_VALUE"""),9.361629486084322E-4)</f>
        <v>0.0009361629486</v>
      </c>
      <c r="T18" s="4">
        <f>IFERROR(__xludf.DUMMYFUNCTION("""COMPUTED_VALUE"""),0.3112960128784179)</f>
        <v>0.3112960129</v>
      </c>
    </row>
    <row r="19">
      <c r="F19" s="1" t="s">
        <v>16</v>
      </c>
      <c r="G19" s="1">
        <v>4.796</v>
      </c>
      <c r="H19" s="1">
        <v>1.77068535095317E9</v>
      </c>
      <c r="I19" s="4">
        <f t="shared" si="10"/>
        <v>0.4886188545</v>
      </c>
      <c r="J19" s="1">
        <v>0.720548</v>
      </c>
      <c r="K19" s="1">
        <v>0.720548517508779</v>
      </c>
      <c r="N19" s="18">
        <f t="shared" ref="N19:P19" si="11">abs(R19)</f>
        <v>0.03019567299</v>
      </c>
      <c r="O19" s="18">
        <f t="shared" si="11"/>
        <v>0.254674263</v>
      </c>
      <c r="P19" s="18">
        <f t="shared" si="11"/>
        <v>0.003384471893</v>
      </c>
      <c r="R19" s="1">
        <f>IFERROR(__xludf.DUMMYFUNCTION("""COMPUTED_VALUE"""),-0.03019567298889214)</f>
        <v>-0.03019567299</v>
      </c>
      <c r="S19" s="4">
        <f>IFERROR(__xludf.DUMMYFUNCTION("""COMPUTED_VALUE"""),0.2546742630004881)</f>
        <v>0.254674263</v>
      </c>
      <c r="T19" s="4">
        <f>IFERROR(__xludf.DUMMYFUNCTION("""COMPUTED_VALUE"""),0.003384471893310703)</f>
        <v>0.003384471893</v>
      </c>
    </row>
    <row r="20">
      <c r="F20" s="1" t="s">
        <v>18</v>
      </c>
      <c r="G20" s="1">
        <v>8.679</v>
      </c>
      <c r="H20" s="1">
        <v>1.77068535453754E9</v>
      </c>
      <c r="I20" s="4">
        <f t="shared" si="10"/>
        <v>0.1899887524</v>
      </c>
      <c r="J20" s="1">
        <v>0.659548</v>
      </c>
      <c r="K20" s="1">
        <v>0.659548790036793</v>
      </c>
      <c r="N20" s="18">
        <f t="shared" ref="N20:P20" si="12">abs(R20)</f>
        <v>0.3763461552</v>
      </c>
      <c r="O20" s="18">
        <f t="shared" si="12"/>
        <v>0.3092763176</v>
      </c>
      <c r="P20" s="18">
        <f t="shared" si="12"/>
        <v>0.006773693085</v>
      </c>
      <c r="R20" s="1">
        <f>IFERROR(__xludf.DUMMYFUNCTION("""COMPUTED_VALUE"""),-0.37634615516662606)</f>
        <v>-0.3763461552</v>
      </c>
      <c r="S20" s="4">
        <f>IFERROR(__xludf.DUMMYFUNCTION("""COMPUTED_VALUE"""),-0.3092763175964355)</f>
        <v>-0.3092763176</v>
      </c>
      <c r="T20" s="4">
        <f>IFERROR(__xludf.DUMMYFUNCTION("""COMPUTED_VALUE"""),0.006773693084716648)</f>
        <v>0.006773693085</v>
      </c>
    </row>
    <row r="21">
      <c r="A21" s="1" t="s">
        <v>34</v>
      </c>
      <c r="B21" s="1">
        <v>0.001</v>
      </c>
      <c r="C21" s="1">
        <v>1.770685368E9</v>
      </c>
      <c r="D21" s="1">
        <v>2.83913669E8</v>
      </c>
      <c r="E21" s="4">
        <f>(C21+(D21/1000000000) - B21)</f>
        <v>1770685368</v>
      </c>
      <c r="F21" s="1" t="s">
        <v>15</v>
      </c>
      <c r="G21" s="1">
        <v>1.304</v>
      </c>
      <c r="H21" s="1">
        <v>1.77068536991753E9</v>
      </c>
      <c r="I21" s="4">
        <f t="shared" ref="I21:I23" si="14">(H21-$E$21)-G21</f>
        <v>0.330616375</v>
      </c>
      <c r="J21" s="1">
        <v>1.23856</v>
      </c>
      <c r="K21" s="1">
        <v>1.23856435066536</v>
      </c>
      <c r="N21" s="18">
        <f t="shared" ref="N21:P21" si="13">abs(R21)</f>
        <v>0.1899887524</v>
      </c>
      <c r="O21" s="18">
        <f t="shared" si="13"/>
        <v>0.4579887047</v>
      </c>
      <c r="P21" s="18">
        <f t="shared" si="13"/>
        <v>0.4886188545</v>
      </c>
      <c r="R21" s="1">
        <f>IFERROR(__xludf.DUMMYFUNCTION("""COMPUTED_VALUE"""),0.18998875236511203)</f>
        <v>0.1899887524</v>
      </c>
      <c r="S21" s="4">
        <f>IFERROR(__xludf.DUMMYFUNCTION("""COMPUTED_VALUE"""),0.4579887046813964)</f>
        <v>0.4579887047</v>
      </c>
      <c r="T21" s="4">
        <f>IFERROR(__xludf.DUMMYFUNCTION("""COMPUTED_VALUE"""),0.4886188545227048)</f>
        <v>0.4886188545</v>
      </c>
    </row>
    <row r="22">
      <c r="F22" s="1" t="s">
        <v>16</v>
      </c>
      <c r="G22" s="1">
        <v>4.665</v>
      </c>
      <c r="H22" s="1">
        <v>1.77068537331537E9</v>
      </c>
      <c r="I22" s="4">
        <f t="shared" si="14"/>
        <v>0.367456398</v>
      </c>
      <c r="J22" s="1">
        <v>0.95996</v>
      </c>
      <c r="K22" s="1">
        <v>0.959963919612722</v>
      </c>
      <c r="N22" s="18">
        <f t="shared" ref="N22:P22" si="15">abs(R22)</f>
        <v>0.4720263786</v>
      </c>
      <c r="O22" s="18">
        <f t="shared" si="15"/>
        <v>0.330616375</v>
      </c>
      <c r="P22" s="18">
        <f t="shared" si="15"/>
        <v>0.367456398</v>
      </c>
      <c r="R22" s="1">
        <f>IFERROR(__xludf.DUMMYFUNCTION("""COMPUTED_VALUE"""),0.47202637863159147)</f>
        <v>0.4720263786</v>
      </c>
      <c r="S22" s="4">
        <f>IFERROR(__xludf.DUMMYFUNCTION("""COMPUTED_VALUE"""),0.3306163749694824)</f>
        <v>0.330616375</v>
      </c>
      <c r="T22" s="4">
        <f>IFERROR(__xludf.DUMMYFUNCTION("""COMPUTED_VALUE"""),0.36745639801025387)</f>
        <v>0.367456398</v>
      </c>
    </row>
    <row r="23">
      <c r="F23" s="1" t="s">
        <v>18</v>
      </c>
      <c r="G23" s="1">
        <v>7.743</v>
      </c>
      <c r="H23" s="1">
        <v>1.77068537649794E9</v>
      </c>
      <c r="I23" s="4">
        <f t="shared" si="14"/>
        <v>0.4720263786</v>
      </c>
      <c r="J23" s="1">
        <v>0.695094</v>
      </c>
      <c r="K23" s="1">
        <v>0.695094889938784</v>
      </c>
      <c r="N23" s="18">
        <f t="shared" ref="N23:P23" si="16">abs(R23)</f>
        <v>0.07820986176</v>
      </c>
      <c r="O23" s="18">
        <f t="shared" si="16"/>
        <v>0.2654498978</v>
      </c>
      <c r="P23" s="18">
        <f t="shared" si="16"/>
        <v>0.1609302425</v>
      </c>
      <c r="R23" s="1">
        <f>IFERROR(__xludf.DUMMYFUNCTION("""COMPUTED_VALUE"""),0.07820986175537037)</f>
        <v>0.07820986176</v>
      </c>
      <c r="S23" s="4">
        <f>IFERROR(__xludf.DUMMYFUNCTION("""COMPUTED_VALUE"""),0.2654498977661133)</f>
        <v>0.2654498978</v>
      </c>
      <c r="T23" s="4">
        <f>IFERROR(__xludf.DUMMYFUNCTION("""COMPUTED_VALUE"""),-0.160930242538452)</f>
        <v>-0.1609302425</v>
      </c>
    </row>
    <row r="24">
      <c r="A24" s="1" t="s">
        <v>35</v>
      </c>
      <c r="B24" s="1">
        <v>0.598</v>
      </c>
      <c r="C24" s="1">
        <v>1.770685416E9</v>
      </c>
      <c r="D24" s="1">
        <v>6.32880254E8</v>
      </c>
      <c r="E24" s="4">
        <f>(C24+(D24/1000000000) - B24)</f>
        <v>1770685416</v>
      </c>
      <c r="F24" s="1" t="s">
        <v>15</v>
      </c>
      <c r="G24" s="1">
        <v>2.633</v>
      </c>
      <c r="H24" s="1">
        <v>1.77068541893333E9</v>
      </c>
      <c r="I24" s="4">
        <f t="shared" ref="I24:I26" si="18">(H24-$E$24)-G24</f>
        <v>0.2654498978</v>
      </c>
      <c r="J24" s="1">
        <v>1.20708</v>
      </c>
      <c r="K24" s="1">
        <v>1.20708706196255</v>
      </c>
      <c r="N24" s="18">
        <f t="shared" ref="N24:P24" si="17">abs(R24)</f>
        <v>1.218304466</v>
      </c>
      <c r="O24" s="18">
        <f t="shared" si="17"/>
        <v>1.22732456</v>
      </c>
      <c r="P24" s="18">
        <f t="shared" si="17"/>
        <v>1.40216457</v>
      </c>
      <c r="R24" s="1">
        <f>IFERROR(__xludf.DUMMYFUNCTION("""COMPUTED_VALUE"""),1.2183044662475586)</f>
        <v>1.218304466</v>
      </c>
      <c r="S24" s="4">
        <f>IFERROR(__xludf.DUMMYFUNCTION("""COMPUTED_VALUE"""),1.2273245601654053)</f>
        <v>1.22732456</v>
      </c>
      <c r="T24" s="4">
        <f>IFERROR(__xludf.DUMMYFUNCTION("""COMPUTED_VALUE"""),1.4021645698547367)</f>
        <v>1.40216457</v>
      </c>
    </row>
    <row r="25">
      <c r="F25" s="1" t="s">
        <v>16</v>
      </c>
      <c r="G25" s="1">
        <v>5.965</v>
      </c>
      <c r="H25" s="1">
        <v>1.77068542183895E9</v>
      </c>
      <c r="I25" s="4">
        <f t="shared" si="18"/>
        <v>-0.1609302425</v>
      </c>
      <c r="J25" s="1">
        <v>0.90067</v>
      </c>
      <c r="K25" s="1">
        <v>0.900679413300016</v>
      </c>
      <c r="N25" s="18">
        <f t="shared" ref="N25:P25" si="19">abs(R25)</f>
        <v>0.3640164776</v>
      </c>
      <c r="O25" s="18">
        <f t="shared" si="19"/>
        <v>0.4102063732</v>
      </c>
      <c r="P25" s="18">
        <f t="shared" si="19"/>
        <v>0.7824764271</v>
      </c>
      <c r="R25" s="1">
        <f>IFERROR(__xludf.DUMMYFUNCTION("""COMPUTED_VALUE"""),0.3640164775848387)</f>
        <v>0.3640164776</v>
      </c>
      <c r="S25" s="4">
        <f>IFERROR(__xludf.DUMMYFUNCTION("""COMPUTED_VALUE"""),0.41020637321472186)</f>
        <v>0.4102063732</v>
      </c>
      <c r="T25" s="4">
        <f>IFERROR(__xludf.DUMMYFUNCTION("""COMPUTED_VALUE"""),0.7824764270782474)</f>
        <v>0.7824764271</v>
      </c>
    </row>
    <row r="26">
      <c r="F26" s="1" t="s">
        <v>18</v>
      </c>
      <c r="G26" s="1">
        <v>8.566</v>
      </c>
      <c r="H26" s="1">
        <v>1.77068542467909E9</v>
      </c>
      <c r="I26" s="4">
        <f t="shared" si="18"/>
        <v>0.07820986176</v>
      </c>
      <c r="J26" s="1">
        <v>0.69124</v>
      </c>
      <c r="K26" s="1">
        <v>0.691242084788013</v>
      </c>
      <c r="N26" s="18">
        <f t="shared" ref="N26:P26" si="20">abs(R26)</f>
        <v>1.940392269</v>
      </c>
      <c r="O26" s="18">
        <f t="shared" si="20"/>
        <v>1.953252232</v>
      </c>
      <c r="P26" s="18">
        <f t="shared" si="20"/>
        <v>2.189932068</v>
      </c>
      <c r="R26" s="1">
        <f>IFERROR(__xludf.DUMMYFUNCTION("""COMPUTED_VALUE"""),1.940392269134522)</f>
        <v>1.940392269</v>
      </c>
      <c r="S26" s="4">
        <f>IFERROR(__xludf.DUMMYFUNCTION("""COMPUTED_VALUE"""),1.9532522315979004)</f>
        <v>1.953252232</v>
      </c>
      <c r="T26" s="4">
        <f>IFERROR(__xludf.DUMMYFUNCTION("""COMPUTED_VALUE"""),2.1899320678710934)</f>
        <v>2.189932068</v>
      </c>
    </row>
    <row r="27">
      <c r="A27" s="1" t="s">
        <v>36</v>
      </c>
      <c r="B27" s="1">
        <v>0.001</v>
      </c>
      <c r="C27" s="1">
        <v>1.770685436E9</v>
      </c>
      <c r="D27" s="1">
        <v>7.34885476E8</v>
      </c>
      <c r="E27" s="4">
        <f>(C27+(D27/1000000000) - B27)</f>
        <v>1770685437</v>
      </c>
      <c r="F27" s="1" t="s">
        <v>15</v>
      </c>
      <c r="G27" s="1">
        <v>1.897</v>
      </c>
      <c r="H27" s="1">
        <v>1.77068543985821E9</v>
      </c>
      <c r="I27" s="4">
        <f t="shared" ref="I27:I29" si="22">(H27-$E$27)-G27</f>
        <v>1.22732456</v>
      </c>
      <c r="J27" s="1">
        <v>1.12737</v>
      </c>
      <c r="K27" s="1">
        <v>1.12737686318637</v>
      </c>
      <c r="N27" s="18">
        <f t="shared" ref="N27:P27" si="21">abs(R27)</f>
        <v>0.236024683</v>
      </c>
      <c r="O27" s="18">
        <f t="shared" si="21"/>
        <v>0.2019346657</v>
      </c>
      <c r="P27" s="18">
        <f t="shared" si="21"/>
        <v>0.1993248405</v>
      </c>
      <c r="R27" s="1">
        <f>IFERROR(__xludf.DUMMYFUNCTION("""COMPUTED_VALUE"""),0.2360246829986572)</f>
        <v>0.236024683</v>
      </c>
      <c r="S27" s="4">
        <f>IFERROR(__xludf.DUMMYFUNCTION("""COMPUTED_VALUE"""),0.20193466567993168)</f>
        <v>0.2019346657</v>
      </c>
      <c r="T27" s="4">
        <f>IFERROR(__xludf.DUMMYFUNCTION("""COMPUTED_VALUE"""),0.19932484054565425)</f>
        <v>0.1993248405</v>
      </c>
    </row>
    <row r="28">
      <c r="F28" s="1" t="s">
        <v>16</v>
      </c>
      <c r="G28" s="1">
        <v>4.209</v>
      </c>
      <c r="H28" s="1">
        <v>1.77068544234505E9</v>
      </c>
      <c r="I28" s="4">
        <f t="shared" si="22"/>
        <v>1.40216457</v>
      </c>
      <c r="J28" s="1">
        <v>1.105868</v>
      </c>
      <c r="K28" s="1">
        <v>1.10586810208812</v>
      </c>
      <c r="N28" s="18">
        <f t="shared" ref="N28:P28" si="23">abs(R28)</f>
        <v>0.08412049675</v>
      </c>
      <c r="O28" s="18">
        <f t="shared" si="23"/>
        <v>0.1309503994</v>
      </c>
      <c r="P28" s="18">
        <f t="shared" si="23"/>
        <v>0.1746803322</v>
      </c>
      <c r="R28" s="1">
        <f>IFERROR(__xludf.DUMMYFUNCTION("""COMPUTED_VALUE"""),0.0841204967498772)</f>
        <v>0.08412049675</v>
      </c>
      <c r="S28" s="4">
        <f>IFERROR(__xludf.DUMMYFUNCTION("""COMPUTED_VALUE"""),0.1309503993988037)</f>
        <v>0.1309503994</v>
      </c>
      <c r="T28" s="4">
        <f>IFERROR(__xludf.DUMMYFUNCTION("""COMPUTED_VALUE"""),0.17468033218383816)</f>
        <v>0.1746803322</v>
      </c>
    </row>
    <row r="29">
      <c r="F29" s="1" t="s">
        <v>18</v>
      </c>
      <c r="G29" s="1">
        <v>7.601</v>
      </c>
      <c r="H29" s="1">
        <v>1.77068544555319E9</v>
      </c>
      <c r="I29" s="4">
        <f t="shared" si="22"/>
        <v>1.218304466</v>
      </c>
      <c r="J29" s="1">
        <v>0.75048</v>
      </c>
      <c r="K29" s="1">
        <v>0.750480501517266</v>
      </c>
      <c r="N29" s="18">
        <f t="shared" ref="N29:P29" si="24">abs(R29)</f>
        <v>0.3107871304</v>
      </c>
      <c r="O29" s="18">
        <f t="shared" si="24"/>
        <v>0.5055473099</v>
      </c>
      <c r="P29" s="18">
        <f t="shared" si="24"/>
        <v>0.6922071476</v>
      </c>
      <c r="R29" s="1">
        <f>IFERROR(__xludf.DUMMYFUNCTION("""COMPUTED_VALUE"""),0.31078713035583494)</f>
        <v>0.3107871304</v>
      </c>
      <c r="S29" s="4">
        <f>IFERROR(__xludf.DUMMYFUNCTION("""COMPUTED_VALUE"""),0.5055473098754883)</f>
        <v>0.5055473099</v>
      </c>
      <c r="T29" s="4">
        <f>IFERROR(__xludf.DUMMYFUNCTION("""COMPUTED_VALUE"""),0.6922071475982667)</f>
        <v>0.6922071476</v>
      </c>
    </row>
    <row r="30">
      <c r="A30" s="1" t="s">
        <v>37</v>
      </c>
      <c r="B30" s="1">
        <v>0.001</v>
      </c>
      <c r="C30" s="1">
        <v>1.770685458E9</v>
      </c>
      <c r="D30" s="1">
        <v>2.22413463E8</v>
      </c>
      <c r="E30" s="4">
        <f>(C30+(D30/1000000000) - B30)</f>
        <v>1770685458</v>
      </c>
      <c r="F30" s="1" t="s">
        <v>15</v>
      </c>
      <c r="G30" s="1">
        <v>2.167</v>
      </c>
      <c r="H30" s="1">
        <v>1.77068546079862E9</v>
      </c>
      <c r="I30" s="4">
        <f t="shared" ref="I30:I32" si="26">(H30-$E$30)-G30</f>
        <v>0.4102063732</v>
      </c>
      <c r="J30" s="1">
        <v>0.928818</v>
      </c>
      <c r="K30" s="1">
        <v>0.928818454964428</v>
      </c>
      <c r="N30" s="18">
        <f t="shared" ref="N30:P30" si="25">abs(R30)</f>
        <v>0.1456777782</v>
      </c>
      <c r="O30" s="18">
        <f t="shared" si="25"/>
        <v>0.05946777344</v>
      </c>
      <c r="P30" s="18">
        <f t="shared" si="25"/>
        <v>0.2508279171</v>
      </c>
      <c r="R30" s="1">
        <f>IFERROR(__xludf.DUMMYFUNCTION("""COMPUTED_VALUE"""),0.14567777824401862)</f>
        <v>0.1456777782</v>
      </c>
      <c r="S30" s="4">
        <f>IFERROR(__xludf.DUMMYFUNCTION("""COMPUTED_VALUE"""),0.05946777343749998)</f>
        <v>0.05946777344</v>
      </c>
      <c r="T30" s="4">
        <f>IFERROR(__xludf.DUMMYFUNCTION("""COMPUTED_VALUE"""),0.25082791709899865)</f>
        <v>0.2508279171</v>
      </c>
    </row>
    <row r="31">
      <c r="F31" s="1" t="s">
        <v>16</v>
      </c>
      <c r="G31" s="1">
        <v>5.898</v>
      </c>
      <c r="H31" s="1">
        <v>1.77068546490189E9</v>
      </c>
      <c r="I31" s="4">
        <f t="shared" si="26"/>
        <v>0.7824764271</v>
      </c>
      <c r="J31" s="1">
        <v>0.6981543</v>
      </c>
      <c r="K31" s="1">
        <v>0.698154322096186</v>
      </c>
      <c r="N31" s="18">
        <f t="shared" ref="N31:P31" si="27">abs(R31)</f>
        <v>0.1081474628</v>
      </c>
      <c r="O31" s="18">
        <f t="shared" si="27"/>
        <v>0.3394075584</v>
      </c>
      <c r="P31" s="18">
        <f t="shared" si="27"/>
        <v>0.2568475513</v>
      </c>
      <c r="R31" s="1">
        <f>IFERROR(__xludf.DUMMYFUNCTION("""COMPUTED_VALUE"""),0.10814746284484933)</f>
        <v>0.1081474628</v>
      </c>
      <c r="S31" s="4">
        <f>IFERROR(__xludf.DUMMYFUNCTION("""COMPUTED_VALUE"""),0.3394075584411622)</f>
        <v>0.3394075584</v>
      </c>
      <c r="T31" s="4">
        <f>IFERROR(__xludf.DUMMYFUNCTION("""COMPUTED_VALUE"""),0.2568475513458255)</f>
        <v>0.2568475513</v>
      </c>
    </row>
    <row r="32">
      <c r="F32" s="1" t="s">
        <v>18</v>
      </c>
      <c r="G32" s="1">
        <v>9.333</v>
      </c>
      <c r="H32" s="1">
        <v>1.77068546791843E9</v>
      </c>
      <c r="I32" s="4">
        <f t="shared" si="26"/>
        <v>0.3640164776</v>
      </c>
      <c r="J32" s="1">
        <v>0.6795514</v>
      </c>
      <c r="K32" s="1">
        <v>0.679551423522009</v>
      </c>
      <c r="N32" s="18">
        <f t="shared" ref="N32:P32" si="28">abs(R32)</f>
        <v>0.5464956474</v>
      </c>
      <c r="O32" s="18">
        <f t="shared" si="28"/>
        <v>0.7487455482</v>
      </c>
      <c r="P32" s="18">
        <f t="shared" si="28"/>
        <v>0.6977355919</v>
      </c>
      <c r="R32" s="1">
        <f>IFERROR(__xludf.DUMMYFUNCTION("""COMPUTED_VALUE"""),0.5464956474304206)</f>
        <v>0.5464956474</v>
      </c>
      <c r="S32" s="4">
        <f>IFERROR(__xludf.DUMMYFUNCTION("""COMPUTED_VALUE"""),0.7487455482482912)</f>
        <v>0.7487455482</v>
      </c>
      <c r="T32" s="4">
        <f>IFERROR(__xludf.DUMMYFUNCTION("""COMPUTED_VALUE"""),0.6977355918884278)</f>
        <v>0.6977355919</v>
      </c>
    </row>
    <row r="33">
      <c r="A33" s="1" t="s">
        <v>38</v>
      </c>
      <c r="B33" s="1">
        <v>1.161</v>
      </c>
      <c r="C33" s="1">
        <v>1.770685479E9</v>
      </c>
      <c r="D33" s="1">
        <v>3.8323772E8</v>
      </c>
      <c r="E33" s="4">
        <f>(C33+(D33/1000000000) - B33)</f>
        <v>1770685478</v>
      </c>
      <c r="F33" s="1" t="s">
        <v>15</v>
      </c>
      <c r="G33" s="1">
        <v>2.363</v>
      </c>
      <c r="H33" s="1">
        <v>1.77068548253849E9</v>
      </c>
      <c r="I33" s="4">
        <f t="shared" ref="I33:I35" si="30">(H33-$E$33)-G33</f>
        <v>1.953252232</v>
      </c>
      <c r="J33" s="1">
        <v>1.0654395</v>
      </c>
      <c r="K33" s="1">
        <v>1.06543956476934</v>
      </c>
      <c r="N33" s="18">
        <f t="shared" ref="N33:P33" si="29">abs(R33)</f>
        <v>0.2287385674</v>
      </c>
      <c r="O33" s="18">
        <f t="shared" si="29"/>
        <v>0.5911984196</v>
      </c>
      <c r="P33" s="18">
        <f t="shared" si="29"/>
        <v>0.5988585701</v>
      </c>
      <c r="R33" s="1">
        <f>IFERROR(__xludf.DUMMYFUNCTION("""COMPUTED_VALUE"""),0.2287385673522948)</f>
        <v>0.2287385674</v>
      </c>
      <c r="S33" s="4">
        <f>IFERROR(__xludf.DUMMYFUNCTION("""COMPUTED_VALUE"""),0.5911984195709228)</f>
        <v>0.5911984196</v>
      </c>
      <c r="T33" s="4">
        <f>IFERROR(__xludf.DUMMYFUNCTION("""COMPUTED_VALUE"""),0.5988585700988773)</f>
        <v>0.5988585701</v>
      </c>
    </row>
    <row r="34">
      <c r="F34" s="1" t="s">
        <v>16</v>
      </c>
      <c r="G34" s="1">
        <v>5.267</v>
      </c>
      <c r="H34" s="1">
        <v>1.77068548567917E9</v>
      </c>
      <c r="I34" s="4">
        <f t="shared" si="30"/>
        <v>2.189932068</v>
      </c>
      <c r="J34" s="1">
        <v>0.7520148</v>
      </c>
      <c r="K34" s="1">
        <v>0.752014883685761</v>
      </c>
      <c r="N34" s="18">
        <f t="shared" ref="N34:P34" si="31">abs(R34)</f>
        <v>0.04567686462</v>
      </c>
      <c r="O34" s="18">
        <f t="shared" si="31"/>
        <v>0.3159232826</v>
      </c>
      <c r="P34" s="18">
        <f t="shared" si="31"/>
        <v>0.2115131836</v>
      </c>
      <c r="R34" s="1">
        <f>IFERROR(__xludf.DUMMYFUNCTION("""COMPUTED_VALUE"""),-0.04567686462402332)</f>
        <v>-0.04567686462</v>
      </c>
      <c r="S34" s="4">
        <f>IFERROR(__xludf.DUMMYFUNCTION("""COMPUTED_VALUE"""),0.31592328262329117)</f>
        <v>0.3159232826</v>
      </c>
      <c r="T34" s="4">
        <f>IFERROR(__xludf.DUMMYFUNCTION("""COMPUTED_VALUE"""),0.21151318359375004)</f>
        <v>0.2115131836</v>
      </c>
    </row>
    <row r="35">
      <c r="F35" s="1" t="s">
        <v>18</v>
      </c>
      <c r="G35" s="1">
        <v>8.411</v>
      </c>
      <c r="H35" s="1">
        <v>1.77068548857363E9</v>
      </c>
      <c r="I35" s="4">
        <f t="shared" si="30"/>
        <v>1.940392269</v>
      </c>
      <c r="J35" s="1">
        <v>0.737128</v>
      </c>
      <c r="K35" s="1">
        <v>0.737128031820527</v>
      </c>
      <c r="N35" s="18">
        <f t="shared" ref="N35:P35" si="32">abs(R35)</f>
        <v>0.06380619049</v>
      </c>
      <c r="O35" s="18">
        <f t="shared" si="32"/>
        <v>0.1151537018</v>
      </c>
      <c r="P35" s="18">
        <f t="shared" si="32"/>
        <v>0.2542037315</v>
      </c>
      <c r="R35" s="1">
        <f>IFERROR(__xludf.DUMMYFUNCTION("""COMPUTED_VALUE"""),-0.06380619049072234)</f>
        <v>-0.06380619049</v>
      </c>
      <c r="S35" s="4">
        <f>IFERROR(__xludf.DUMMYFUNCTION("""COMPUTED_VALUE"""),0.11515370178222661)</f>
        <v>0.1151537018</v>
      </c>
      <c r="T35" s="4">
        <f>IFERROR(__xludf.DUMMYFUNCTION("""COMPUTED_VALUE"""),0.25420373153686526)</f>
        <v>0.2542037315</v>
      </c>
    </row>
    <row r="36">
      <c r="A36" s="1" t="s">
        <v>39</v>
      </c>
      <c r="B36" s="1">
        <v>0.381</v>
      </c>
      <c r="C36" s="1">
        <v>1.770685515E9</v>
      </c>
      <c r="D36" s="1">
        <v>1.36985375E8</v>
      </c>
      <c r="E36" s="4">
        <f>(C36+(D36/1000000000) - B36)</f>
        <v>1770685515</v>
      </c>
      <c r="F36" s="1" t="s">
        <v>15</v>
      </c>
      <c r="G36" s="1">
        <v>2.081</v>
      </c>
      <c r="H36" s="1">
        <v>1.77068551703892E9</v>
      </c>
      <c r="I36" s="4">
        <f t="shared" ref="I36:I38" si="34">(H36-$E$36)-G36</f>
        <v>0.2019346657</v>
      </c>
      <c r="J36" s="1">
        <v>1.0844269</v>
      </c>
      <c r="K36" s="1">
        <v>1.08442699840749</v>
      </c>
      <c r="M36" s="2" t="s">
        <v>40</v>
      </c>
      <c r="N36" s="18">
        <f t="shared" ref="N36:P36" si="33">abs(R36)</f>
        <v>0.08786615181</v>
      </c>
      <c r="O36" s="18">
        <f t="shared" si="33"/>
        <v>1.024173788</v>
      </c>
      <c r="P36" s="18">
        <f t="shared" si="33"/>
        <v>1.069263815</v>
      </c>
      <c r="Q36" s="1" t="s">
        <v>41</v>
      </c>
      <c r="R36" s="4">
        <f>IFERROR(__xludf.DUMMYFUNCTION("FILTER('Assam Track 2'!I:I, 'Assam Track 2'!F:F=""Tile"", 'Assam Track 2'!I:I)"),-0.08786615180969282)</f>
        <v>-0.08786615181</v>
      </c>
      <c r="S36" s="4">
        <f>IFERROR(__xludf.DUMMYFUNCTION("FILTER('Assam Track 2'!I:I, 'Assam Track 2'!F:F=""Cardboard"", 'Assam Track 2'!I:I)"),1.0241737880706783)</f>
        <v>1.024173788</v>
      </c>
      <c r="T36" s="4">
        <f>IFERROR(__xludf.DUMMYFUNCTION("FILTER('Assam Track 2'!I:I, 'Assam Track 2'!F:F=""Acrylic"", 'Assam Track 2'!I:I)"),1.0692638149261473)</f>
        <v>1.069263815</v>
      </c>
    </row>
    <row r="37">
      <c r="F37" s="1" t="s">
        <v>16</v>
      </c>
      <c r="G37" s="1">
        <v>4.306</v>
      </c>
      <c r="H37" s="1">
        <v>1.77068551926131E9</v>
      </c>
      <c r="I37" s="4">
        <f t="shared" si="34"/>
        <v>0.1993248405</v>
      </c>
      <c r="J37" s="1">
        <v>0.9668405</v>
      </c>
      <c r="K37" s="1">
        <v>0.966840545588717</v>
      </c>
      <c r="N37" s="18">
        <f t="shared" ref="N37:P37" si="35">abs(R37)</f>
        <v>0.1206200981</v>
      </c>
      <c r="O37" s="18">
        <f t="shared" si="35"/>
        <v>0.1061899872</v>
      </c>
      <c r="P37" s="18">
        <f t="shared" si="35"/>
        <v>0.3533299389</v>
      </c>
      <c r="R37" s="1">
        <f>IFERROR(__xludf.DUMMYFUNCTION("""COMPUTED_VALUE"""),-0.12062009811401353)</f>
        <v>-0.1206200981</v>
      </c>
      <c r="S37" s="4">
        <f>IFERROR(__xludf.DUMMYFUNCTION("""COMPUTED_VALUE"""),0.10618998718261707)</f>
        <v>0.1061899872</v>
      </c>
      <c r="T37" s="4">
        <f>IFERROR(__xludf.DUMMYFUNCTION("""COMPUTED_VALUE"""),0.3533299388885496)</f>
        <v>0.3533299389</v>
      </c>
    </row>
    <row r="38">
      <c r="F38" s="1" t="s">
        <v>18</v>
      </c>
      <c r="G38" s="1">
        <v>6.907</v>
      </c>
      <c r="H38" s="1">
        <v>1.77068552189901E9</v>
      </c>
      <c r="I38" s="4">
        <f t="shared" si="34"/>
        <v>0.236024683</v>
      </c>
      <c r="J38" s="1">
        <v>0.658684</v>
      </c>
      <c r="K38" s="1">
        <v>0.658684296556353</v>
      </c>
      <c r="N38" s="18">
        <f t="shared" ref="N38:P38" si="36">abs(R38)</f>
        <v>0.08421315956</v>
      </c>
      <c r="O38" s="18">
        <f t="shared" si="36"/>
        <v>0.1942568741</v>
      </c>
      <c r="P38" s="18">
        <f t="shared" si="36"/>
        <v>0.552366991</v>
      </c>
      <c r="R38" s="1">
        <f>IFERROR(__xludf.DUMMYFUNCTION("""COMPUTED_VALUE"""),-0.08421315956115727)</f>
        <v>-0.08421315956</v>
      </c>
      <c r="S38" s="4">
        <f>IFERROR(__xludf.DUMMYFUNCTION("""COMPUTED_VALUE"""),0.19425687408447345)</f>
        <v>0.1942568741</v>
      </c>
      <c r="T38" s="4">
        <f>IFERROR(__xludf.DUMMYFUNCTION("""COMPUTED_VALUE"""),0.5523669910430904)</f>
        <v>0.552366991</v>
      </c>
    </row>
    <row r="39">
      <c r="A39" s="1" t="s">
        <v>42</v>
      </c>
      <c r="B39" s="1">
        <v>0.361</v>
      </c>
      <c r="C39" s="1">
        <v>1.770685539E9</v>
      </c>
      <c r="D39" s="1">
        <v>4.9959557E7</v>
      </c>
      <c r="E39" s="4">
        <f>(C39+(D39/1000000000) - B39)</f>
        <v>1770685539</v>
      </c>
      <c r="F39" s="1" t="s">
        <v>15</v>
      </c>
      <c r="G39" s="1">
        <v>2.254</v>
      </c>
      <c r="H39" s="1">
        <v>1.77068554107391E9</v>
      </c>
      <c r="I39" s="4">
        <f t="shared" ref="I39:I41" si="38">(H39-$E$39)-G39</f>
        <v>0.1309503994</v>
      </c>
      <c r="J39" s="1">
        <v>1.00267149</v>
      </c>
      <c r="K39" s="1">
        <v>1.00267149579464</v>
      </c>
      <c r="N39" s="18">
        <f t="shared" ref="N39:P39" si="37">abs(R39)</f>
        <v>0.2317721119</v>
      </c>
      <c r="O39" s="18">
        <f t="shared" si="37"/>
        <v>0.07741209412</v>
      </c>
      <c r="P39" s="18">
        <f t="shared" si="37"/>
        <v>0.3001220722</v>
      </c>
      <c r="R39" s="1">
        <f>IFERROR(__xludf.DUMMYFUNCTION("""COMPUTED_VALUE"""),0.2317721118927003)</f>
        <v>0.2317721119</v>
      </c>
      <c r="S39" s="4">
        <f>IFERROR(__xludf.DUMMYFUNCTION("""COMPUTED_VALUE"""),0.07741209411621064)</f>
        <v>0.07741209412</v>
      </c>
      <c r="T39" s="4">
        <f>IFERROR(__xludf.DUMMYFUNCTION("""COMPUTED_VALUE"""),0.3001220722198479)</f>
        <v>0.3001220722</v>
      </c>
    </row>
    <row r="40">
      <c r="F40" s="1" t="s">
        <v>16</v>
      </c>
      <c r="G40" s="1">
        <v>5.071</v>
      </c>
      <c r="H40" s="1">
        <v>1.77068554393464E9</v>
      </c>
      <c r="I40" s="4">
        <f t="shared" si="38"/>
        <v>0.1746803322</v>
      </c>
      <c r="J40" s="1">
        <v>0.72339208</v>
      </c>
      <c r="K40" s="1">
        <v>0.723392081941481</v>
      </c>
      <c r="N40" s="18">
        <f t="shared" ref="N40:P40" si="39">abs(R40)</f>
        <v>0.04015970612</v>
      </c>
      <c r="O40" s="18">
        <f t="shared" si="39"/>
        <v>0.1088302326</v>
      </c>
      <c r="P40" s="18">
        <f t="shared" si="39"/>
        <v>0.2401197147</v>
      </c>
      <c r="R40" s="1">
        <f>IFERROR(__xludf.DUMMYFUNCTION("""COMPUTED_VALUE"""),0.04015970611572284)</f>
        <v>0.04015970612</v>
      </c>
      <c r="S40" s="4">
        <f>IFERROR(__xludf.DUMMYFUNCTION("""COMPUTED_VALUE"""),-0.10883023262023883)</f>
        <v>-0.1088302326</v>
      </c>
      <c r="T40" s="4">
        <f>IFERROR(__xludf.DUMMYFUNCTION("""COMPUTED_VALUE"""),0.24011971473693805)</f>
        <v>0.2401197147</v>
      </c>
    </row>
    <row r="41">
      <c r="F41" s="1" t="s">
        <v>18</v>
      </c>
      <c r="G41" s="1">
        <v>8.066</v>
      </c>
      <c r="H41" s="1">
        <v>1.77068554683908E9</v>
      </c>
      <c r="I41" s="4">
        <f t="shared" si="38"/>
        <v>0.08412049675</v>
      </c>
      <c r="J41" s="1">
        <v>0.7251524</v>
      </c>
      <c r="K41" s="1">
        <v>0.725152438508006</v>
      </c>
      <c r="N41" s="18">
        <f t="shared" ref="N41:P41" si="40">abs(R41)</f>
        <v>0.5821942616</v>
      </c>
      <c r="O41" s="18">
        <f t="shared" si="40"/>
        <v>0.6094141426</v>
      </c>
      <c r="P41" s="18">
        <f t="shared" si="40"/>
        <v>0.8625542374</v>
      </c>
      <c r="R41" s="1">
        <f>IFERROR(__xludf.DUMMYFUNCTION("""COMPUTED_VALUE"""),0.582194261550903)</f>
        <v>0.5821942616</v>
      </c>
      <c r="S41" s="4">
        <f>IFERROR(__xludf.DUMMYFUNCTION("""COMPUTED_VALUE"""),0.6094141426086424)</f>
        <v>0.6094141426</v>
      </c>
      <c r="T41" s="4">
        <f>IFERROR(__xludf.DUMMYFUNCTION("""COMPUTED_VALUE"""),0.8625542373657229)</f>
        <v>0.8625542374</v>
      </c>
    </row>
    <row r="42">
      <c r="A42" s="1" t="s">
        <v>43</v>
      </c>
      <c r="B42" s="1">
        <v>0.001</v>
      </c>
      <c r="C42" s="1">
        <v>1.77068556E9</v>
      </c>
      <c r="D42" s="1">
        <v>2.71502758E8</v>
      </c>
      <c r="E42" s="4">
        <f>(C42+(D42/1000000000) - B42)</f>
        <v>1770685560</v>
      </c>
      <c r="F42" s="1" t="s">
        <v>15</v>
      </c>
      <c r="G42" s="1">
        <v>1.799</v>
      </c>
      <c r="H42" s="1">
        <v>1.77068556257505E9</v>
      </c>
      <c r="I42" s="4">
        <f t="shared" ref="I42:I44" si="42">(H42-$E$42)-G42</f>
        <v>0.5055473099</v>
      </c>
      <c r="J42" s="1">
        <v>0.946834</v>
      </c>
      <c r="K42" s="1">
        <v>0.946834691863796</v>
      </c>
      <c r="N42" s="18">
        <f t="shared" ref="N42:P42" si="41">abs(R42)</f>
        <v>0.5603169861</v>
      </c>
      <c r="O42" s="18">
        <f t="shared" si="41"/>
        <v>0.6758470116</v>
      </c>
      <c r="P42" s="18">
        <f t="shared" si="41"/>
        <v>0.4352370358</v>
      </c>
      <c r="R42" s="1">
        <f>IFERROR(__xludf.DUMMYFUNCTION("""COMPUTED_VALUE"""),0.5603169860839845)</f>
        <v>0.5603169861</v>
      </c>
      <c r="S42" s="4">
        <f>IFERROR(__xludf.DUMMYFUNCTION("""COMPUTED_VALUE"""),0.6758470115661623)</f>
        <v>0.6758470116</v>
      </c>
      <c r="T42" s="4">
        <f>IFERROR(__xludf.DUMMYFUNCTION("""COMPUTED_VALUE"""),0.4352370357513422)</f>
        <v>0.4352370358</v>
      </c>
    </row>
    <row r="43">
      <c r="F43" s="1" t="s">
        <v>16</v>
      </c>
      <c r="G43" s="1">
        <v>4.098</v>
      </c>
      <c r="H43" s="1">
        <v>1.77068556506071E9</v>
      </c>
      <c r="I43" s="4">
        <f t="shared" si="42"/>
        <v>0.6922071476</v>
      </c>
      <c r="J43" s="1">
        <v>1.0436262</v>
      </c>
      <c r="K43" s="1">
        <v>1.04362626867907</v>
      </c>
      <c r="N43" s="18">
        <f t="shared" ref="N43:P43" si="43">abs(R43)</f>
        <v>0.1715765076</v>
      </c>
      <c r="O43" s="18">
        <f t="shared" si="43"/>
        <v>0.274746624</v>
      </c>
      <c r="P43" s="18">
        <f t="shared" si="43"/>
        <v>0.2567565422</v>
      </c>
      <c r="R43" s="1">
        <f>IFERROR(__xludf.DUMMYFUNCTION("""COMPUTED_VALUE"""),0.17157650756835974)</f>
        <v>0.1715765076</v>
      </c>
      <c r="S43" s="4">
        <f>IFERROR(__xludf.DUMMYFUNCTION("""COMPUTED_VALUE"""),0.27474662399291994)</f>
        <v>0.274746624</v>
      </c>
      <c r="T43" s="4">
        <f>IFERROR(__xludf.DUMMYFUNCTION("""COMPUTED_VALUE"""),0.25675654220581023)</f>
        <v>0.2567565422</v>
      </c>
    </row>
    <row r="44">
      <c r="F44" s="1" t="s">
        <v>18</v>
      </c>
      <c r="G44" s="1">
        <v>7.399</v>
      </c>
      <c r="H44" s="1">
        <v>1.77068556798029E9</v>
      </c>
      <c r="I44" s="4">
        <f t="shared" si="42"/>
        <v>0.3107871304</v>
      </c>
      <c r="J44" s="1">
        <v>0.66783142</v>
      </c>
      <c r="K44" s="1">
        <v>0.667831421633293</v>
      </c>
      <c r="N44" s="18">
        <f t="shared" ref="N44:P44" si="44">abs(R44)</f>
        <v>0.56206563</v>
      </c>
      <c r="O44" s="18">
        <f t="shared" si="44"/>
        <v>0.7797456169</v>
      </c>
      <c r="P44" s="18">
        <f t="shared" si="44"/>
        <v>1.147665651</v>
      </c>
      <c r="R44" s="1">
        <f>IFERROR(__xludf.DUMMYFUNCTION("""COMPUTED_VALUE"""),0.5620656299591067)</f>
        <v>0.56206563</v>
      </c>
      <c r="S44" s="4">
        <f>IFERROR(__xludf.DUMMYFUNCTION("""COMPUTED_VALUE"""),0.7797456169128409)</f>
        <v>0.7797456169</v>
      </c>
      <c r="T44" s="4">
        <f>IFERROR(__xludf.DUMMYFUNCTION("""COMPUTED_VALUE"""),1.147665651321411)</f>
        <v>1.147665651</v>
      </c>
    </row>
    <row r="45">
      <c r="A45" s="1" t="s">
        <v>44</v>
      </c>
      <c r="B45" s="1">
        <v>0.001</v>
      </c>
      <c r="C45" s="1">
        <v>1.770685581E9</v>
      </c>
      <c r="D45" s="1">
        <v>4.41852002E8</v>
      </c>
      <c r="E45" s="4">
        <f>(C45+(D45/1000000000) - B45)</f>
        <v>1770685581</v>
      </c>
      <c r="F45" s="1" t="s">
        <v>15</v>
      </c>
      <c r="G45" s="1">
        <v>1.895</v>
      </c>
      <c r="H45" s="1">
        <v>1.77068558339532E9</v>
      </c>
      <c r="I45" s="4">
        <f t="shared" ref="I45:I47" si="46">(H45-$E$45)-G45</f>
        <v>0.05946777344</v>
      </c>
      <c r="J45" s="1">
        <v>1.0486527</v>
      </c>
      <c r="K45" s="1">
        <v>1.04865270150954</v>
      </c>
      <c r="N45" s="18">
        <f t="shared" ref="N45:P45" si="45">abs(R45)</f>
        <v>3.427301437</v>
      </c>
      <c r="O45" s="18">
        <f t="shared" si="45"/>
        <v>3.001651436</v>
      </c>
      <c r="P45" s="18">
        <f t="shared" si="45"/>
        <v>2.992431395</v>
      </c>
      <c r="R45" s="1">
        <f>IFERROR(__xludf.DUMMYFUNCTION("""COMPUTED_VALUE"""),-3.42730143737793)</f>
        <v>-3.427301437</v>
      </c>
      <c r="S45" s="4">
        <f>IFERROR(__xludf.DUMMYFUNCTION("""COMPUTED_VALUE"""),-3.0016514358520503)</f>
        <v>-3.001651436</v>
      </c>
      <c r="T45" s="4">
        <f>IFERROR(__xludf.DUMMYFUNCTION("""COMPUTED_VALUE"""),-2.992431394577027)</f>
        <v>-2.992431395</v>
      </c>
    </row>
    <row r="46">
      <c r="F46" s="1" t="s">
        <v>16</v>
      </c>
      <c r="G46" s="1">
        <v>4.666</v>
      </c>
      <c r="H46" s="1">
        <v>1.77068558635768E9</v>
      </c>
      <c r="I46" s="4">
        <f t="shared" si="46"/>
        <v>0.2508279171</v>
      </c>
      <c r="J46" s="1">
        <v>0.76757376</v>
      </c>
      <c r="K46" s="1">
        <v>0.767573762178642</v>
      </c>
      <c r="N46" s="18">
        <f t="shared" ref="N46:P46" si="47">abs(R46)</f>
        <v>0.03685159492</v>
      </c>
      <c r="O46" s="18">
        <f t="shared" si="47"/>
        <v>0.1383184929</v>
      </c>
      <c r="P46" s="18">
        <f t="shared" si="47"/>
        <v>0.2683182926</v>
      </c>
      <c r="R46" s="1">
        <f>IFERROR(__xludf.DUMMYFUNCTION("""COMPUTED_VALUE"""),-0.03685159492492662)</f>
        <v>-0.03685159492</v>
      </c>
      <c r="S46" s="4">
        <f>IFERROR(__xludf.DUMMYFUNCTION("""COMPUTED_VALUE"""),0.1383184928894039)</f>
        <v>0.1383184929</v>
      </c>
      <c r="T46" s="4">
        <f>IFERROR(__xludf.DUMMYFUNCTION("""COMPUTED_VALUE"""),0.2683182926177974)</f>
        <v>0.2683182926</v>
      </c>
    </row>
    <row r="47">
      <c r="F47" s="1" t="s">
        <v>18</v>
      </c>
      <c r="G47" s="1">
        <v>7.553</v>
      </c>
      <c r="H47" s="1">
        <v>1.77068558913953E9</v>
      </c>
      <c r="I47" s="4">
        <f t="shared" si="46"/>
        <v>0.1456777782</v>
      </c>
      <c r="J47" s="1">
        <v>0.639521627</v>
      </c>
      <c r="K47" s="1">
        <v>0.639521627225541</v>
      </c>
      <c r="N47" s="18">
        <f t="shared" ref="N47:P47" si="48">abs(R47)</f>
        <v>0.145812912</v>
      </c>
      <c r="O47" s="18">
        <f t="shared" si="48"/>
        <v>0.07139305878</v>
      </c>
      <c r="P47" s="18">
        <f t="shared" si="48"/>
        <v>0.08367701721</v>
      </c>
      <c r="R47" s="1">
        <f>IFERROR(__xludf.DUMMYFUNCTION("""COMPUTED_VALUE"""),-0.14581291198730462)</f>
        <v>-0.145812912</v>
      </c>
      <c r="S47" s="4">
        <f>IFERROR(__xludf.DUMMYFUNCTION("""COMPUTED_VALUE"""),-0.07139305877685587)</f>
        <v>-0.07139305878</v>
      </c>
      <c r="T47" s="4">
        <f>IFERROR(__xludf.DUMMYFUNCTION("""COMPUTED_VALUE"""),0.08367701721191345)</f>
        <v>0.08367701721</v>
      </c>
    </row>
    <row r="48">
      <c r="A48" s="1" t="s">
        <v>45</v>
      </c>
      <c r="B48" s="1">
        <v>0.661</v>
      </c>
      <c r="C48" s="1">
        <v>1.770685602E9</v>
      </c>
      <c r="D48" s="1">
        <v>3.26632441E8</v>
      </c>
      <c r="E48" s="4">
        <f>(C48+(D48/1000000000) - B48)</f>
        <v>1770685602</v>
      </c>
      <c r="F48" s="1" t="s">
        <v>15</v>
      </c>
      <c r="G48" s="1">
        <v>2.63</v>
      </c>
      <c r="H48" s="1">
        <v>1.77068560463504E9</v>
      </c>
      <c r="I48" s="4">
        <f t="shared" ref="I48:I50" si="50">(H48-$E$48)-G48</f>
        <v>0.3394075584</v>
      </c>
      <c r="J48" s="1">
        <v>0.97650885</v>
      </c>
      <c r="K48" s="1">
        <v>0.976508855528363</v>
      </c>
      <c r="N48" s="18">
        <f t="shared" ref="N48:P48" si="49">abs(R48)</f>
        <v>0.3115319576</v>
      </c>
      <c r="O48" s="18">
        <f t="shared" si="49"/>
        <v>0.5627517986</v>
      </c>
      <c r="P48" s="18">
        <f t="shared" si="49"/>
        <v>0.7015818348</v>
      </c>
      <c r="R48" s="1">
        <f>IFERROR(__xludf.DUMMYFUNCTION("""COMPUTED_VALUE"""),0.31153195762634267)</f>
        <v>0.3115319576</v>
      </c>
      <c r="S48" s="4">
        <f>IFERROR(__xludf.DUMMYFUNCTION("""COMPUTED_VALUE"""),0.5627517986297601)</f>
        <v>0.5627517986</v>
      </c>
      <c r="T48" s="4">
        <f>IFERROR(__xludf.DUMMYFUNCTION("""COMPUTED_VALUE"""),0.7015818347930907)</f>
        <v>0.7015818348</v>
      </c>
    </row>
    <row r="49">
      <c r="F49" s="1" t="s">
        <v>16</v>
      </c>
      <c r="G49" s="1">
        <v>5.797</v>
      </c>
      <c r="H49" s="1">
        <v>1.77068560771948E9</v>
      </c>
      <c r="I49" s="4">
        <f t="shared" si="50"/>
        <v>0.2568475513</v>
      </c>
      <c r="J49" s="1">
        <v>0.6747166</v>
      </c>
      <c r="K49" s="1">
        <v>0.674716609167077</v>
      </c>
      <c r="N49" s="18">
        <f t="shared" ref="N49:P49" si="51">abs(R49)</f>
        <v>0.1008812771</v>
      </c>
      <c r="O49" s="18">
        <f t="shared" si="51"/>
        <v>0.3656211891</v>
      </c>
      <c r="P49" s="18">
        <f t="shared" si="51"/>
        <v>0.3970811386</v>
      </c>
      <c r="R49" s="1">
        <f>IFERROR(__xludf.DUMMYFUNCTION("""COMPUTED_VALUE"""),0.1008812770843508)</f>
        <v>0.1008812771</v>
      </c>
      <c r="S49" s="4">
        <f>IFERROR(__xludf.DUMMYFUNCTION("""COMPUTED_VALUE"""),0.3656211891174319)</f>
        <v>0.3656211891</v>
      </c>
      <c r="T49" s="4">
        <f>IFERROR(__xludf.DUMMYFUNCTION("""COMPUTED_VALUE"""),0.39708113861084016)</f>
        <v>0.3970811386</v>
      </c>
    </row>
    <row r="50">
      <c r="F50" s="1" t="s">
        <v>18</v>
      </c>
      <c r="G50" s="1">
        <v>8.466</v>
      </c>
      <c r="H50" s="1">
        <v>1.77068561023978E9</v>
      </c>
      <c r="I50" s="4">
        <f t="shared" si="50"/>
        <v>0.1081474628</v>
      </c>
      <c r="J50" s="1">
        <v>0.630516062</v>
      </c>
      <c r="K50" s="1">
        <v>0.630516062960649</v>
      </c>
      <c r="N50" s="18">
        <f t="shared" ref="N50:P50" si="52">abs(R50)</f>
        <v>0.1155802555</v>
      </c>
      <c r="O50" s="18">
        <f t="shared" si="52"/>
        <v>0.1895002422</v>
      </c>
      <c r="P50" s="18">
        <f t="shared" si="52"/>
        <v>0.2959003658</v>
      </c>
      <c r="R50" s="1">
        <f>IFERROR(__xludf.DUMMYFUNCTION("""COMPUTED_VALUE"""),0.11558025550842288)</f>
        <v>0.1155802555</v>
      </c>
      <c r="S50" s="4">
        <f>IFERROR(__xludf.DUMMYFUNCTION("""COMPUTED_VALUE"""),0.18950024223327588)</f>
        <v>0.1895002422</v>
      </c>
      <c r="T50" s="4">
        <f>IFERROR(__xludf.DUMMYFUNCTION("""COMPUTED_VALUE"""),0.29590036582946766)</f>
        <v>0.2959003658</v>
      </c>
    </row>
    <row r="51">
      <c r="A51" s="1" t="s">
        <v>46</v>
      </c>
      <c r="B51" s="1">
        <v>0.001</v>
      </c>
      <c r="C51" s="1">
        <v>1.770685622E9</v>
      </c>
      <c r="D51" s="1">
        <v>1.64354407E8</v>
      </c>
      <c r="E51" s="4">
        <f>(C51+(D51/1000000000) - B51)</f>
        <v>1770685622</v>
      </c>
      <c r="F51" s="1" t="s">
        <v>15</v>
      </c>
      <c r="G51" s="1">
        <v>2.163</v>
      </c>
      <c r="H51" s="1">
        <v>1.7706856250751E9</v>
      </c>
      <c r="I51" s="4">
        <f t="shared" ref="I51:I53" si="54">(H51-$E$51)-G51</f>
        <v>0.7487455482</v>
      </c>
      <c r="J51" s="1">
        <v>0.8813267</v>
      </c>
      <c r="K51" s="1">
        <v>0.881326707064723</v>
      </c>
      <c r="N51" s="18">
        <f t="shared" ref="N51:P51" si="53">abs(R51)</f>
        <v>0.1932466412</v>
      </c>
      <c r="O51" s="18">
        <f t="shared" si="53"/>
        <v>0.02700331879</v>
      </c>
      <c r="P51" s="18">
        <f t="shared" si="53"/>
        <v>0.1763366089</v>
      </c>
      <c r="R51" s="1">
        <f>IFERROR(__xludf.DUMMYFUNCTION("""COMPUTED_VALUE"""),-0.19324664115905765)</f>
        <v>-0.1932466412</v>
      </c>
      <c r="S51" s="4">
        <f>IFERROR(__xludf.DUMMYFUNCTION("""COMPUTED_VALUE"""),0.027003318786620767)</f>
        <v>0.02700331879</v>
      </c>
      <c r="T51" s="4">
        <f>IFERROR(__xludf.DUMMYFUNCTION("""COMPUTED_VALUE"""),-0.17633660888671798)</f>
        <v>-0.1763366089</v>
      </c>
    </row>
    <row r="52">
      <c r="F52" s="1" t="s">
        <v>16</v>
      </c>
      <c r="G52" s="1">
        <v>5.779</v>
      </c>
      <c r="H52" s="1">
        <v>1.77068562864009E9</v>
      </c>
      <c r="I52" s="4">
        <f t="shared" si="54"/>
        <v>0.6977355919</v>
      </c>
      <c r="J52" s="1">
        <v>0.6826693</v>
      </c>
      <c r="K52" s="1">
        <v>0.682669304778555</v>
      </c>
      <c r="N52" s="18">
        <f t="shared" ref="N52:O52" si="55">abs(R52)</f>
        <v>0.3593218918</v>
      </c>
      <c r="O52" s="18">
        <f t="shared" si="55"/>
        <v>0.07829483032</v>
      </c>
      <c r="Q52" s="1" t="s">
        <v>47</v>
      </c>
      <c r="R52" s="4">
        <f>IFERROR(__xludf.DUMMYFUNCTION("filter('Assam Track 3'!I:I,'Assam Track 3'!F:F=""Tile"",'Assam Track 3'!I:I)"),-0.3593218918)</f>
        <v>-0.3593218918</v>
      </c>
      <c r="S52" s="4">
        <f>IFERROR(__xludf.DUMMYFUNCTION("filter('Assam Track 3'!I:I,'Assam Track 3'!F:F=""Cardboard"")"),-0.07829483032)</f>
        <v>-0.07829483032</v>
      </c>
    </row>
    <row r="53">
      <c r="F53" s="1" t="s">
        <v>18</v>
      </c>
      <c r="G53" s="1">
        <v>8.905</v>
      </c>
      <c r="H53" s="1">
        <v>1.77068563161485E9</v>
      </c>
      <c r="I53" s="4">
        <f t="shared" si="54"/>
        <v>0.5464956474</v>
      </c>
      <c r="J53" s="1">
        <v>0.596796</v>
      </c>
      <c r="K53" s="1">
        <v>0.596796045497077</v>
      </c>
      <c r="N53" s="18">
        <f t="shared" ref="N53:O53" si="56">abs(R53)</f>
        <v>0.3581443977</v>
      </c>
      <c r="O53" s="18">
        <f t="shared" si="56"/>
        <v>0.3985070839</v>
      </c>
      <c r="R53" s="4">
        <f>IFERROR(__xludf.DUMMYFUNCTION("""COMPUTED_VALUE"""),-0.3581443977)</f>
        <v>-0.3581443977</v>
      </c>
      <c r="S53" s="4">
        <f>IFERROR(__xludf.DUMMYFUNCTION("""COMPUTED_VALUE"""),-0.3985070839)</f>
        <v>-0.3985070839</v>
      </c>
    </row>
    <row r="54">
      <c r="A54" s="1" t="s">
        <v>48</v>
      </c>
      <c r="B54" s="1">
        <v>0.001</v>
      </c>
      <c r="C54" s="1">
        <v>1.770685648E9</v>
      </c>
      <c r="D54" s="1">
        <v>6.6453143E8</v>
      </c>
      <c r="E54" s="4">
        <f>(C54+(D54/1000000000) - B54)</f>
        <v>1770685649</v>
      </c>
      <c r="F54" s="1" t="s">
        <v>15</v>
      </c>
      <c r="G54" s="1">
        <v>2.701</v>
      </c>
      <c r="H54" s="1">
        <v>1.77068565195573E9</v>
      </c>
      <c r="I54" s="4">
        <f t="shared" ref="I54:I56" si="58">(H54-$E$54)-G54</f>
        <v>0.5911984196</v>
      </c>
      <c r="J54" s="1">
        <v>0.91422197</v>
      </c>
      <c r="K54" s="1">
        <v>0.91422197252099</v>
      </c>
      <c r="N54" s="18">
        <f t="shared" ref="N54:O54" si="57">abs(R54)</f>
        <v>0.5199084873</v>
      </c>
      <c r="O54" s="18">
        <f t="shared" si="57"/>
        <v>0.5592835636</v>
      </c>
      <c r="R54" s="4">
        <f>IFERROR(__xludf.DUMMYFUNCTION("""COMPUTED_VALUE"""),-0.5199084873)</f>
        <v>-0.5199084873</v>
      </c>
      <c r="S54" s="4">
        <f>IFERROR(__xludf.DUMMYFUNCTION("""COMPUTED_VALUE"""),-0.5592835636)</f>
        <v>-0.5592835636</v>
      </c>
    </row>
    <row r="55">
      <c r="F55" s="1" t="s">
        <v>16</v>
      </c>
      <c r="G55" s="1">
        <v>5.701</v>
      </c>
      <c r="H55" s="1">
        <v>1.77068565496339E9</v>
      </c>
      <c r="I55" s="4">
        <f t="shared" si="58"/>
        <v>0.5988585701</v>
      </c>
      <c r="J55" s="1">
        <v>0.69363239</v>
      </c>
      <c r="K55" s="1">
        <v>0.693632390188808</v>
      </c>
      <c r="N55" s="18">
        <f t="shared" ref="N55:O55" si="59">abs(R55)</f>
        <v>0.3503653774</v>
      </c>
      <c r="O55" s="18">
        <f t="shared" si="59"/>
        <v>0.5291064606</v>
      </c>
      <c r="R55" s="4">
        <f>IFERROR(__xludf.DUMMYFUNCTION("""COMPUTED_VALUE"""),-0.3503653774)</f>
        <v>-0.3503653774</v>
      </c>
      <c r="S55" s="4">
        <f>IFERROR(__xludf.DUMMYFUNCTION("""COMPUTED_VALUE"""),-0.5291064606)</f>
        <v>-0.5291064606</v>
      </c>
    </row>
    <row r="56">
      <c r="F56" s="1" t="s">
        <v>18</v>
      </c>
      <c r="G56" s="1">
        <v>8.503</v>
      </c>
      <c r="H56" s="1">
        <v>1.77068565739527E9</v>
      </c>
      <c r="I56" s="4">
        <f t="shared" si="58"/>
        <v>0.2287385674</v>
      </c>
      <c r="J56" s="1">
        <v>0.69526652</v>
      </c>
      <c r="K56" s="1">
        <v>0.695266529189196</v>
      </c>
      <c r="N56" s="18">
        <f t="shared" ref="N56:O56" si="60">abs(R56)</f>
        <v>0.0174</v>
      </c>
      <c r="O56" s="18">
        <f t="shared" si="60"/>
        <v>0.0907308</v>
      </c>
      <c r="R56" s="4">
        <f>IFERROR(__xludf.DUMMYFUNCTION("""COMPUTED_VALUE"""),-0.0174)</f>
        <v>-0.0174</v>
      </c>
      <c r="S56" s="4">
        <f>IFERROR(__xludf.DUMMYFUNCTION("""COMPUTED_VALUE"""),-0.0907308)</f>
        <v>-0.0907308</v>
      </c>
    </row>
    <row r="57">
      <c r="A57" s="1" t="s">
        <v>49</v>
      </c>
      <c r="B57" s="1">
        <v>0.26</v>
      </c>
      <c r="C57" s="1">
        <v>1.770685681E9</v>
      </c>
      <c r="D57" s="1">
        <v>1.81996843E8</v>
      </c>
      <c r="E57" s="4">
        <f>(C57+(D57/1000000000) - B57)</f>
        <v>1770685681</v>
      </c>
      <c r="F57" s="1" t="s">
        <v>15</v>
      </c>
      <c r="G57" s="1">
        <v>2.203</v>
      </c>
      <c r="H57" s="1">
        <v>1.77068568344092E9</v>
      </c>
      <c r="I57" s="4">
        <f t="shared" ref="I57:I59" si="62">(H57-$E$57)-G57</f>
        <v>0.3159232826</v>
      </c>
      <c r="J57" s="1">
        <v>0.93696236</v>
      </c>
      <c r="K57" s="1">
        <v>0.936962369024282</v>
      </c>
      <c r="N57" s="18">
        <f t="shared" ref="N57:O57" si="61">abs(R57)</f>
        <v>0.1088781071</v>
      </c>
      <c r="O57" s="18">
        <f t="shared" si="61"/>
        <v>0.002933063507</v>
      </c>
      <c r="R57" s="4">
        <f>IFERROR(__xludf.DUMMYFUNCTION("""COMPUTED_VALUE"""),-0.1088781071)</f>
        <v>-0.1088781071</v>
      </c>
      <c r="S57" s="4">
        <f>IFERROR(__xludf.DUMMYFUNCTION("""COMPUTED_VALUE"""),-0.002933063507)</f>
        <v>-0.002933063507</v>
      </c>
    </row>
    <row r="58">
      <c r="F58" s="1" t="s">
        <v>16</v>
      </c>
      <c r="G58" s="1">
        <v>4.702</v>
      </c>
      <c r="H58" s="1">
        <v>1.77068568583551E9</v>
      </c>
      <c r="I58" s="4">
        <f t="shared" si="62"/>
        <v>0.2115131836</v>
      </c>
      <c r="J58" s="1">
        <v>1.06170511</v>
      </c>
      <c r="K58" s="1">
        <v>1.06170511115125</v>
      </c>
      <c r="N58" s="18">
        <f t="shared" ref="N58:O58" si="63">abs(R58)</f>
        <v>0.04027332115</v>
      </c>
      <c r="O58" s="18">
        <f t="shared" si="63"/>
        <v>0.2078143559</v>
      </c>
      <c r="R58" s="4">
        <f>IFERROR(__xludf.DUMMYFUNCTION("""COMPUTED_VALUE"""),-0.04027332115)</f>
        <v>-0.04027332115</v>
      </c>
      <c r="S58" s="4">
        <f>IFERROR(__xludf.DUMMYFUNCTION("""COMPUTED_VALUE"""),-0.2078143559)</f>
        <v>-0.2078143559</v>
      </c>
    </row>
    <row r="59">
      <c r="F59" s="1" t="s">
        <v>18</v>
      </c>
      <c r="G59" s="1">
        <v>7.864</v>
      </c>
      <c r="H59" s="1">
        <v>1.77068568874032E9</v>
      </c>
      <c r="I59" s="4">
        <f t="shared" si="62"/>
        <v>-0.04567686462</v>
      </c>
      <c r="J59" s="1">
        <v>0.69988731</v>
      </c>
      <c r="K59" s="1">
        <v>0.699887318630538</v>
      </c>
      <c r="N59" s="18">
        <f t="shared" ref="N59:O59" si="64">abs(R59)</f>
        <v>0.4684307613</v>
      </c>
      <c r="O59" s="18">
        <f t="shared" si="64"/>
        <v>0.7723274364</v>
      </c>
      <c r="R59" s="4">
        <f>IFERROR(__xludf.DUMMYFUNCTION("""COMPUTED_VALUE"""),-0.4684307613)</f>
        <v>-0.4684307613</v>
      </c>
      <c r="S59" s="4">
        <f>IFERROR(__xludf.DUMMYFUNCTION("""COMPUTED_VALUE"""),-0.7723274364)</f>
        <v>-0.7723274364</v>
      </c>
    </row>
    <row r="60">
      <c r="A60" s="1" t="s">
        <v>50</v>
      </c>
      <c r="B60" s="1">
        <v>0.12</v>
      </c>
      <c r="C60" s="1">
        <v>1.7706857E9</v>
      </c>
      <c r="D60" s="1">
        <v>9.23396095E8</v>
      </c>
      <c r="E60" s="4">
        <f>(C60+(D60/1000000000) - B60)</f>
        <v>1770685701</v>
      </c>
      <c r="F60" s="1" t="s">
        <v>15</v>
      </c>
      <c r="G60" s="1">
        <v>1.942</v>
      </c>
      <c r="H60" s="1">
        <v>1.77068570286055E9</v>
      </c>
      <c r="I60" s="4">
        <f t="shared" ref="I60:I62" si="66">(H60-$E$60)-G60</f>
        <v>0.1151537018</v>
      </c>
      <c r="J60" s="1">
        <v>1.02945181</v>
      </c>
      <c r="K60" s="1">
        <v>1.02945181978471</v>
      </c>
      <c r="N60" s="18">
        <f t="shared" ref="N60:O60" si="65">abs(R60)</f>
        <v>0.1678700237</v>
      </c>
      <c r="O60" s="18">
        <f t="shared" si="65"/>
        <v>0.3630180092</v>
      </c>
      <c r="R60" s="4">
        <f>IFERROR(__xludf.DUMMYFUNCTION("""COMPUTED_VALUE"""),-0.1678700237)</f>
        <v>-0.1678700237</v>
      </c>
      <c r="S60" s="4">
        <f>IFERROR(__xludf.DUMMYFUNCTION("""COMPUTED_VALUE"""),-0.3630180092)</f>
        <v>-0.3630180092</v>
      </c>
    </row>
    <row r="61">
      <c r="F61" s="1" t="s">
        <v>16</v>
      </c>
      <c r="G61" s="1">
        <v>4.343</v>
      </c>
      <c r="H61" s="1">
        <v>1.7706857054006E9</v>
      </c>
      <c r="I61" s="4">
        <f t="shared" si="66"/>
        <v>0.2542037315</v>
      </c>
      <c r="J61" s="1">
        <v>0.91643784</v>
      </c>
      <c r="K61" s="1">
        <v>0.916437840058194</v>
      </c>
      <c r="N61" s="18">
        <f t="shared" ref="N61:O61" si="67">abs(R61)</f>
        <v>0.1261467972</v>
      </c>
      <c r="O61" s="18">
        <f t="shared" si="67"/>
        <v>0.172028698</v>
      </c>
      <c r="R61" s="4">
        <f>IFERROR(__xludf.DUMMYFUNCTION("""COMPUTED_VALUE"""),-0.1261467972)</f>
        <v>-0.1261467972</v>
      </c>
      <c r="S61" s="4">
        <f>IFERROR(__xludf.DUMMYFUNCTION("""COMPUTED_VALUE"""),-0.172028698)</f>
        <v>-0.172028698</v>
      </c>
    </row>
    <row r="62">
      <c r="F62" s="1" t="s">
        <v>18</v>
      </c>
      <c r="G62" s="1">
        <v>7.14</v>
      </c>
      <c r="H62" s="1">
        <v>1.77068570787959E9</v>
      </c>
      <c r="I62" s="4">
        <f t="shared" si="66"/>
        <v>-0.06380619049</v>
      </c>
      <c r="J62" s="1">
        <v>0.6997863</v>
      </c>
      <c r="K62" s="1">
        <v>0.699786398186203</v>
      </c>
      <c r="N62" s="18">
        <f t="shared" ref="N62:O62" si="68">abs(R62)</f>
        <v>0.449094698</v>
      </c>
      <c r="O62" s="18">
        <f t="shared" si="68"/>
        <v>0.5097266426</v>
      </c>
      <c r="R62" s="4">
        <f>IFERROR(__xludf.DUMMYFUNCTION("""COMPUTED_VALUE"""),-0.449094698)</f>
        <v>-0.449094698</v>
      </c>
      <c r="S62" s="4">
        <f>IFERROR(__xludf.DUMMYFUNCTION("""COMPUTED_VALUE"""),-0.5097266426)</f>
        <v>-0.5097266426</v>
      </c>
    </row>
    <row r="63">
      <c r="N63" s="18">
        <f t="shared" ref="N63:O63" si="69">abs(R63)</f>
        <v>0.6748091412</v>
      </c>
      <c r="O63" s="18">
        <f t="shared" si="69"/>
        <v>0.7548442802</v>
      </c>
      <c r="R63" s="4">
        <f>IFERROR(__xludf.DUMMYFUNCTION("""COMPUTED_VALUE"""),-0.6748091412)</f>
        <v>-0.6748091412</v>
      </c>
      <c r="S63" s="4">
        <f>IFERROR(__xludf.DUMMYFUNCTION("""COMPUTED_VALUE"""),-0.7548442802)</f>
        <v>-0.7548442802</v>
      </c>
    </row>
    <row r="64">
      <c r="N64" s="18">
        <f t="shared" ref="N64:O64" si="70">abs(R64)</f>
        <v>0.4839674988</v>
      </c>
      <c r="O64" s="18">
        <f t="shared" si="70"/>
        <v>0.5508656635</v>
      </c>
      <c r="R64" s="4">
        <f>IFERROR(__xludf.DUMMYFUNCTION("""COMPUTED_VALUE"""),-0.4839674988)</f>
        <v>-0.4839674988</v>
      </c>
      <c r="S64" s="4">
        <f>IFERROR(__xludf.DUMMYFUNCTION("""COMPUTED_VALUE"""),-0.5508656635)</f>
        <v>-0.5508656635</v>
      </c>
    </row>
    <row r="65">
      <c r="N65" s="18">
        <f t="shared" ref="N65:O65" si="71">abs(R65)</f>
        <v>0.7918550854</v>
      </c>
      <c r="O65" s="18">
        <f t="shared" si="71"/>
        <v>0.8813103104</v>
      </c>
      <c r="R65" s="4">
        <f>IFERROR(__xludf.DUMMYFUNCTION("""COMPUTED_VALUE"""),-0.7918550854)</f>
        <v>-0.7918550854</v>
      </c>
      <c r="S65" s="4">
        <f>IFERROR(__xludf.DUMMYFUNCTION("""COMPUTED_VALUE"""),-0.8813103104)</f>
        <v>-0.8813103104</v>
      </c>
    </row>
    <row r="66">
      <c r="N66" s="18">
        <f t="shared" ref="N66:O66" si="72">abs(R66)</f>
        <v>1.046942839</v>
      </c>
      <c r="O66" s="18">
        <f t="shared" si="72"/>
        <v>0.1557638245</v>
      </c>
      <c r="R66" s="4">
        <f>IFERROR(__xludf.DUMMYFUNCTION("""COMPUTED_VALUE"""),-1.046942839)</f>
        <v>-1.046942839</v>
      </c>
      <c r="S66" s="4">
        <f>IFERROR(__xludf.DUMMYFUNCTION("""COMPUTED_VALUE"""),0.1557638245)</f>
        <v>0.1557638245</v>
      </c>
    </row>
    <row r="67">
      <c r="N67" s="18">
        <f t="shared" ref="N67:O67" si="73">abs(R67)</f>
        <v>0.3792706852</v>
      </c>
      <c r="O67" s="18">
        <f t="shared" si="73"/>
        <v>0.6077622299</v>
      </c>
      <c r="R67" s="4">
        <f>IFERROR(__xludf.DUMMYFUNCTION("""COMPUTED_VALUE"""),-0.3792706852)</f>
        <v>-0.3792706852</v>
      </c>
      <c r="S67" s="4">
        <f>IFERROR(__xludf.DUMMYFUNCTION("""COMPUTED_VALUE"""),-0.6077622299)</f>
        <v>-0.6077622299</v>
      </c>
    </row>
    <row r="68">
      <c r="N68" s="18">
        <f t="shared" ref="N68:O68" si="74">abs(R68)</f>
        <v>0.7158960934</v>
      </c>
      <c r="O68" s="18">
        <f t="shared" si="74"/>
        <v>0.796139555</v>
      </c>
      <c r="R68" s="4">
        <f>IFERROR(__xludf.DUMMYFUNCTION("""COMPUTED_VALUE"""),-0.7158960934)</f>
        <v>-0.7158960934</v>
      </c>
      <c r="S68" s="4">
        <f>IFERROR(__xludf.DUMMYFUNCTION("""COMPUTED_VALUE"""),-0.796139555)</f>
        <v>-0.796139555</v>
      </c>
    </row>
    <row r="69">
      <c r="N69" s="18">
        <f t="shared" ref="N69:O69" si="75">abs(R69)</f>
        <v>0.297124033</v>
      </c>
      <c r="O69" s="18">
        <f t="shared" si="75"/>
        <v>0.3568248653</v>
      </c>
      <c r="R69" s="4">
        <f>IFERROR(__xludf.DUMMYFUNCTION("""COMPUTED_VALUE"""),-0.297124033)</f>
        <v>-0.297124033</v>
      </c>
      <c r="S69" s="4">
        <f>IFERROR(__xludf.DUMMYFUNCTION("""COMPUTED_VALUE"""),-0.3568248653)</f>
        <v>-0.3568248653</v>
      </c>
    </row>
    <row r="70">
      <c r="N70" s="18">
        <f t="shared" ref="N70:O70" si="76">abs(R70)</f>
        <v>0.4598282928</v>
      </c>
      <c r="O70" s="18">
        <f t="shared" si="76"/>
        <v>0.5468988705</v>
      </c>
      <c r="R70" s="4">
        <f>IFERROR(__xludf.DUMMYFUNCTION("""COMPUTED_VALUE"""),-0.4598282928)</f>
        <v>-0.4598282928</v>
      </c>
      <c r="S70" s="4">
        <f>IFERROR(__xludf.DUMMYFUNCTION("""COMPUTED_VALUE"""),-0.5468988705)</f>
        <v>-0.5468988705</v>
      </c>
    </row>
    <row r="71">
      <c r="N71" s="18">
        <f t="shared" ref="N71:O71" si="77">abs(R71)</f>
        <v>0.2719067383</v>
      </c>
      <c r="O71" s="18">
        <f t="shared" si="77"/>
        <v>0.3739210033</v>
      </c>
      <c r="R71" s="4">
        <f>IFERROR(__xludf.DUMMYFUNCTION("""COMPUTED_VALUE"""),-0.2719067383)</f>
        <v>-0.2719067383</v>
      </c>
      <c r="S71" s="4">
        <f>IFERROR(__xludf.DUMMYFUNCTION("""COMPUTED_VALUE"""),-0.3739210033)</f>
        <v>-0.3739210033</v>
      </c>
    </row>
    <row r="72">
      <c r="M72" s="2" t="s">
        <v>17</v>
      </c>
      <c r="N72" s="19">
        <f t="shared" ref="N72:P72" si="78">average(N16:N71)</f>
        <v>0.4073898641</v>
      </c>
      <c r="O72" s="19">
        <f t="shared" si="78"/>
        <v>0.475633565</v>
      </c>
      <c r="P72" s="19">
        <f t="shared" si="78"/>
        <v>0.5782367503</v>
      </c>
    </row>
    <row r="73">
      <c r="M73" s="2" t="s">
        <v>51</v>
      </c>
      <c r="N73" s="19">
        <f t="shared" ref="N73:P73" si="79">STDEV(N16:N71)</f>
        <v>0.5340177569</v>
      </c>
      <c r="O73" s="19">
        <f t="shared" si="79"/>
        <v>0.4957907394</v>
      </c>
      <c r="P73" s="19">
        <f t="shared" si="79"/>
        <v>0.6093412221</v>
      </c>
    </row>
    <row r="74">
      <c r="M74" s="1" t="s">
        <v>52</v>
      </c>
      <c r="N74" s="4">
        <f t="shared" ref="N74:P74" si="80">VAR(N16:N71)</f>
        <v>0.2851749647</v>
      </c>
      <c r="O74" s="4">
        <f t="shared" si="80"/>
        <v>0.2458084573</v>
      </c>
      <c r="P74" s="4">
        <f t="shared" si="80"/>
        <v>0.371296725</v>
      </c>
    </row>
  </sheetData>
  <mergeCells count="2">
    <mergeCell ref="N4:O4"/>
    <mergeCell ref="N14:P14"/>
  </mergeCells>
  <dataValidations>
    <dataValidation type="list" allowBlank="1" showErrorMessage="1" sqref="F3:F62">
      <formula1>"Cardboard,Acrylic,Tile"</formula1>
    </dataValidation>
  </dataValidations>
  <hyperlinks>
    <hyperlink r:id="rId1" ref="L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3" max="3" width="16.13"/>
    <col customWidth="1" min="4" max="4" width="17.75"/>
    <col customWidth="1" min="5" max="5" width="13.63"/>
    <col customWidth="1" min="11" max="11" width="20.13"/>
  </cols>
  <sheetData>
    <row r="1">
      <c r="L1" s="1" t="s">
        <v>1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3" t="s">
        <v>53</v>
      </c>
    </row>
    <row r="3">
      <c r="A3" s="1" t="s">
        <v>14</v>
      </c>
      <c r="B3" s="1">
        <v>2.333</v>
      </c>
      <c r="C3" s="1">
        <v>1.770760644E9</v>
      </c>
      <c r="D3" s="1">
        <v>9.62366108E8</v>
      </c>
      <c r="E3" s="4">
        <f>(C3+(D3/1000000000) - B3)</f>
        <v>1770760643</v>
      </c>
      <c r="F3" s="1" t="s">
        <v>18</v>
      </c>
      <c r="G3" s="1">
        <v>4.863</v>
      </c>
      <c r="H3" s="1">
        <v>1.7707606474045E9</v>
      </c>
      <c r="I3" s="4">
        <f t="shared" ref="I3:I5" si="1">(H3-$E$3)-G3</f>
        <v>-0.08786615181</v>
      </c>
      <c r="J3" s="1">
        <v>0.69180242</v>
      </c>
      <c r="K3" s="1">
        <v>0.69180242013695</v>
      </c>
    </row>
    <row r="4">
      <c r="F4" s="1" t="s">
        <v>15</v>
      </c>
      <c r="G4" s="1">
        <v>9.996</v>
      </c>
      <c r="H4" s="1">
        <v>1.77076065364954E9</v>
      </c>
      <c r="I4" s="4">
        <f t="shared" si="1"/>
        <v>1.024173788</v>
      </c>
      <c r="J4" s="1">
        <v>0.99076323</v>
      </c>
      <c r="K4" s="1">
        <v>0.990763230536271</v>
      </c>
      <c r="N4" s="20" t="s">
        <v>17</v>
      </c>
      <c r="O4" s="21"/>
    </row>
    <row r="5">
      <c r="F5" s="1" t="s">
        <v>16</v>
      </c>
      <c r="G5" s="1">
        <v>13.051</v>
      </c>
      <c r="H5" s="1">
        <v>1.77076065674963E9</v>
      </c>
      <c r="I5" s="4">
        <f t="shared" si="1"/>
        <v>1.069263815</v>
      </c>
      <c r="J5" s="1">
        <v>0.82483737</v>
      </c>
      <c r="K5" s="1">
        <v>0.824837370029113</v>
      </c>
      <c r="N5" s="7" t="str">
        <f t="array" ref="N5:N8">UNIQUE(F3:F1000)</f>
        <v>Tile</v>
      </c>
      <c r="O5" s="8">
        <f t="shared" ref="O5:O7" si="2">AVERAGEIF($F$3:$F1000, N5, $J$3:$J1000)</f>
        <v>0.6865247165</v>
      </c>
    </row>
    <row r="6">
      <c r="A6" s="1" t="s">
        <v>19</v>
      </c>
      <c r="B6" s="1">
        <v>1.33</v>
      </c>
      <c r="C6" s="1">
        <v>1.770760671E9</v>
      </c>
      <c r="D6" s="1">
        <v>9.96420022E8</v>
      </c>
      <c r="E6" s="4">
        <f>(C6+(D6/1000000000) - B6)</f>
        <v>1770760671</v>
      </c>
      <c r="F6" s="1" t="s">
        <v>18</v>
      </c>
      <c r="G6" s="1">
        <v>3.84</v>
      </c>
      <c r="H6" s="1">
        <v>1.7707606743858E9</v>
      </c>
      <c r="I6" s="4">
        <f t="shared" ref="I6:I8" si="3">(H6-$E$6)-G6</f>
        <v>-0.1206200981</v>
      </c>
      <c r="J6" s="1">
        <v>0.69359566</v>
      </c>
      <c r="K6" s="1">
        <v>0.693595663461148</v>
      </c>
      <c r="N6" s="9" t="s">
        <v>15</v>
      </c>
      <c r="O6" s="10">
        <f t="shared" si="2"/>
        <v>0.9673150137</v>
      </c>
    </row>
    <row r="7">
      <c r="F7" s="1" t="s">
        <v>15</v>
      </c>
      <c r="G7" s="1">
        <v>8.878</v>
      </c>
      <c r="H7" s="1">
        <v>1.77076067965061E9</v>
      </c>
      <c r="I7" s="4">
        <f t="shared" si="3"/>
        <v>0.1061899872</v>
      </c>
      <c r="J7" s="1">
        <v>1.057365016</v>
      </c>
      <c r="K7" s="1">
        <v>0.980662222056752</v>
      </c>
      <c r="N7" s="9" t="s">
        <v>16</v>
      </c>
      <c r="O7" s="10">
        <f t="shared" si="2"/>
        <v>0.8471073589</v>
      </c>
    </row>
    <row r="8">
      <c r="F8" s="1" t="s">
        <v>16</v>
      </c>
      <c r="G8" s="1">
        <v>13.131</v>
      </c>
      <c r="H8" s="1">
        <v>1.77076068415075E9</v>
      </c>
      <c r="I8" s="4">
        <f t="shared" si="3"/>
        <v>0.3533299389</v>
      </c>
      <c r="J8" s="1">
        <v>0.9511330905</v>
      </c>
      <c r="K8" s="1">
        <v>0.951133090540668</v>
      </c>
      <c r="N8" s="9"/>
      <c r="O8" s="10"/>
    </row>
    <row r="9">
      <c r="A9" s="1" t="s">
        <v>20</v>
      </c>
      <c r="B9" s="1">
        <v>2.532</v>
      </c>
      <c r="C9" s="1">
        <v>1.770760698E9</v>
      </c>
      <c r="D9" s="1">
        <v>3.81173156E8</v>
      </c>
      <c r="E9" s="4">
        <f>(C9+(D9/1000000000) - B9)</f>
        <v>1770760696</v>
      </c>
      <c r="F9" s="1" t="s">
        <v>18</v>
      </c>
      <c r="G9" s="1">
        <v>3.923</v>
      </c>
      <c r="H9" s="1">
        <v>1.77076069968796E9</v>
      </c>
      <c r="I9" s="4">
        <f t="shared" ref="I9:I11" si="4">(H9-$E$9)-G9</f>
        <v>-0.08421315956</v>
      </c>
      <c r="J9" s="1">
        <v>0.66521889</v>
      </c>
      <c r="K9" s="1">
        <v>0.665218895301135</v>
      </c>
      <c r="N9" s="12" t="s">
        <v>21</v>
      </c>
      <c r="O9" s="13">
        <f>average(I3:I50)</f>
        <v>0.08788499574</v>
      </c>
    </row>
    <row r="10">
      <c r="F10" s="1" t="s">
        <v>15</v>
      </c>
      <c r="G10" s="1">
        <v>10.104</v>
      </c>
      <c r="H10" s="1">
        <v>1.77076070614743E9</v>
      </c>
      <c r="I10" s="4">
        <f t="shared" si="4"/>
        <v>0.1942568741</v>
      </c>
      <c r="J10" s="1">
        <v>0.92923112</v>
      </c>
      <c r="K10" s="1">
        <v>0.929231121245329</v>
      </c>
    </row>
    <row r="11">
      <c r="F11" s="1" t="s">
        <v>16</v>
      </c>
      <c r="G11" s="1">
        <v>12.23</v>
      </c>
      <c r="H11" s="1">
        <v>1.77076070863154E9</v>
      </c>
      <c r="I11" s="4">
        <f t="shared" si="4"/>
        <v>0.552366991</v>
      </c>
      <c r="J11" s="1">
        <v>0.9478648151</v>
      </c>
      <c r="K11" s="1">
        <v>0.947864815173867</v>
      </c>
    </row>
    <row r="12">
      <c r="A12" s="1" t="s">
        <v>23</v>
      </c>
      <c r="B12" s="1">
        <v>1.376</v>
      </c>
      <c r="C12" s="1">
        <v>1.77076072E9</v>
      </c>
      <c r="D12" s="1">
        <v>9.75157819E8</v>
      </c>
      <c r="E12" s="4">
        <f>(C12+(D12/1000000000) - B12)</f>
        <v>1770760720</v>
      </c>
      <c r="F12" s="1" t="s">
        <v>18</v>
      </c>
      <c r="G12" s="1">
        <v>3.501</v>
      </c>
      <c r="H12" s="1">
        <v>1.77076072333193E9</v>
      </c>
      <c r="I12" s="4">
        <f t="shared" ref="I12:I14" si="5">(H12-$E$12)-G12</f>
        <v>0.2317721119</v>
      </c>
      <c r="J12" s="1">
        <v>0.678555268433458</v>
      </c>
      <c r="K12" s="1">
        <v>0.678555268433458</v>
      </c>
    </row>
    <row r="13">
      <c r="F13" s="1" t="s">
        <v>15</v>
      </c>
      <c r="G13" s="1">
        <v>9.336</v>
      </c>
      <c r="H13" s="1">
        <v>1.77076072901257E9</v>
      </c>
      <c r="I13" s="4">
        <f t="shared" si="5"/>
        <v>0.07741209412</v>
      </c>
      <c r="J13" s="1">
        <v>0.844696549438341</v>
      </c>
      <c r="K13" s="1">
        <v>0.844696549438341</v>
      </c>
    </row>
    <row r="14">
      <c r="F14" s="1" t="s">
        <v>16</v>
      </c>
      <c r="G14" s="1">
        <v>11.973</v>
      </c>
      <c r="H14" s="1">
        <v>1.77076073187228E9</v>
      </c>
      <c r="I14" s="4">
        <f t="shared" si="5"/>
        <v>0.3001220722</v>
      </c>
      <c r="J14" s="1">
        <v>0.7181710075</v>
      </c>
      <c r="K14" s="1">
        <v>0.718171007567731</v>
      </c>
    </row>
    <row r="15">
      <c r="A15" s="1" t="s">
        <v>27</v>
      </c>
      <c r="B15" s="1">
        <v>1.466</v>
      </c>
      <c r="C15" s="1">
        <v>1.770760745E9</v>
      </c>
      <c r="D15" s="1">
        <v>9.39020467E8</v>
      </c>
      <c r="E15" s="4">
        <f>(C15+(D15/1000000000) - B15)</f>
        <v>1770760744</v>
      </c>
      <c r="F15" s="1" t="s">
        <v>18</v>
      </c>
      <c r="G15" s="1">
        <v>3.421</v>
      </c>
      <c r="H15" s="1">
        <v>1.77076074793418E9</v>
      </c>
      <c r="I15" s="4">
        <f t="shared" ref="I15:I17" si="6">(H15-$E$15)-G15</f>
        <v>0.04015970612</v>
      </c>
      <c r="J15" s="1">
        <v>0.7404798107527</v>
      </c>
      <c r="K15" s="1">
        <v>0.740479810752771</v>
      </c>
    </row>
    <row r="16">
      <c r="F16" s="1" t="s">
        <v>15</v>
      </c>
      <c r="G16" s="1">
        <v>8.645</v>
      </c>
      <c r="H16" s="1">
        <v>1.77076075300919E9</v>
      </c>
      <c r="I16" s="4">
        <f t="shared" si="6"/>
        <v>-0.1088302326</v>
      </c>
      <c r="J16" s="1">
        <v>1.041958061</v>
      </c>
      <c r="K16" s="1">
        <v>1.04195806173575</v>
      </c>
    </row>
    <row r="17">
      <c r="F17" s="1" t="s">
        <v>16</v>
      </c>
      <c r="G17" s="1">
        <v>10.48</v>
      </c>
      <c r="H17" s="1">
        <v>1.77076075519314E9</v>
      </c>
      <c r="I17" s="4">
        <f t="shared" si="6"/>
        <v>0.2401197147</v>
      </c>
      <c r="J17" s="1">
        <v>0.6789101833</v>
      </c>
      <c r="K17" s="1">
        <v>0.678910183309104</v>
      </c>
    </row>
    <row r="18">
      <c r="A18" s="1" t="s">
        <v>33</v>
      </c>
      <c r="B18" s="1">
        <v>2.669</v>
      </c>
      <c r="C18" s="1">
        <v>1.770760807E9</v>
      </c>
      <c r="D18" s="1">
        <v>9.18555805E8</v>
      </c>
      <c r="E18" s="4">
        <f>(C18+(D18/1000000000) - B18)</f>
        <v>1770760805</v>
      </c>
      <c r="F18" s="1" t="s">
        <v>18</v>
      </c>
      <c r="G18" s="1">
        <v>4.32</v>
      </c>
      <c r="H18" s="1">
        <v>1.77076081015175E9</v>
      </c>
      <c r="I18" s="4">
        <f t="shared" ref="I18:I20" si="7">(H18-$E$18)-G18</f>
        <v>0.5821942616</v>
      </c>
      <c r="J18" s="1">
        <v>0.7223886906</v>
      </c>
      <c r="K18" s="1">
        <v>0.722388690672348</v>
      </c>
    </row>
    <row r="19">
      <c r="F19" s="1" t="s">
        <v>15</v>
      </c>
      <c r="G19" s="1">
        <v>10.631</v>
      </c>
      <c r="H19" s="1">
        <v>1.77076081648997E9</v>
      </c>
      <c r="I19" s="4">
        <f t="shared" si="7"/>
        <v>0.6094141426</v>
      </c>
      <c r="J19" s="1">
        <v>0.87503858</v>
      </c>
      <c r="K19" s="1">
        <v>0.875038589623464</v>
      </c>
    </row>
    <row r="20">
      <c r="F20" s="1" t="s">
        <v>16</v>
      </c>
      <c r="G20" s="1">
        <v>13.603</v>
      </c>
      <c r="H20" s="1">
        <v>1.77076081971511E9</v>
      </c>
      <c r="I20" s="4">
        <f t="shared" si="7"/>
        <v>0.8625542374</v>
      </c>
      <c r="J20" s="1">
        <v>1.390464671</v>
      </c>
      <c r="K20" s="1">
        <v>1.39046467117004</v>
      </c>
    </row>
    <row r="21">
      <c r="A21" s="1" t="s">
        <v>34</v>
      </c>
      <c r="B21" s="1">
        <v>3.472</v>
      </c>
      <c r="C21" s="1">
        <v>1.770760881E9</v>
      </c>
      <c r="D21" s="1">
        <v>1.23752788E8</v>
      </c>
      <c r="E21" s="4">
        <f>(C21+(D21/1000000000) - B21)</f>
        <v>1770760878</v>
      </c>
      <c r="F21" s="1" t="s">
        <v>18</v>
      </c>
      <c r="G21" s="1">
        <v>4.981</v>
      </c>
      <c r="H21" s="1">
        <v>1.77076088319307E9</v>
      </c>
      <c r="I21" s="4">
        <f t="shared" ref="I21:I23" si="8">(H21-$E$21)-G21</f>
        <v>0.5603169861</v>
      </c>
      <c r="J21" s="1">
        <v>0.693855759</v>
      </c>
      <c r="K21" s="1">
        <v>0.693855759835214</v>
      </c>
    </row>
    <row r="22">
      <c r="F22" s="1" t="s">
        <v>15</v>
      </c>
      <c r="G22" s="1">
        <v>11.369</v>
      </c>
      <c r="H22" s="1">
        <v>1.7707608896966E9</v>
      </c>
      <c r="I22" s="4">
        <f t="shared" si="8"/>
        <v>0.6758470116</v>
      </c>
      <c r="J22" s="1">
        <v>0.898029194934082</v>
      </c>
      <c r="K22" s="1">
        <v>0.898029194934082</v>
      </c>
    </row>
    <row r="23">
      <c r="F23" s="1" t="s">
        <v>16</v>
      </c>
      <c r="G23" s="1">
        <v>14.89</v>
      </c>
      <c r="H23" s="1">
        <v>1.77076089297699E9</v>
      </c>
      <c r="I23" s="4">
        <f t="shared" si="8"/>
        <v>0.4352370358</v>
      </c>
      <c r="J23" s="1">
        <v>0.72004789</v>
      </c>
      <c r="K23" s="1">
        <v>0.720047894163972</v>
      </c>
    </row>
    <row r="24">
      <c r="A24" s="1" t="s">
        <v>35</v>
      </c>
      <c r="B24" s="1">
        <v>2.799</v>
      </c>
      <c r="C24" s="1">
        <v>1.770760919E9</v>
      </c>
      <c r="D24" s="1">
        <v>1.37523462E8</v>
      </c>
      <c r="E24" s="4">
        <f>(C24+(D24/1000000000) - B24)</f>
        <v>1770760916</v>
      </c>
      <c r="F24" s="1" t="s">
        <v>18</v>
      </c>
      <c r="G24" s="1">
        <v>5.342</v>
      </c>
      <c r="H24" s="1">
        <v>1.7707609218521E9</v>
      </c>
      <c r="I24" s="4">
        <f t="shared" ref="I24:I26" si="9">(H24-$E$24)-G24</f>
        <v>0.1715765076</v>
      </c>
      <c r="J24" s="1">
        <v>0.6759991876368</v>
      </c>
      <c r="K24" s="1">
        <v>0.6759991876368</v>
      </c>
    </row>
    <row r="25">
      <c r="F25" s="1" t="s">
        <v>15</v>
      </c>
      <c r="G25" s="1">
        <v>11.359</v>
      </c>
      <c r="H25" s="1">
        <v>1.77076092797227E9</v>
      </c>
      <c r="I25" s="4">
        <f t="shared" si="9"/>
        <v>0.274746624</v>
      </c>
      <c r="J25" s="1">
        <v>1.05962595</v>
      </c>
      <c r="K25" s="1">
        <v>1.05962595387998</v>
      </c>
    </row>
    <row r="26">
      <c r="F26" s="1" t="s">
        <v>16</v>
      </c>
      <c r="G26" s="1">
        <v>13.602</v>
      </c>
      <c r="H26" s="1">
        <v>1.77076093019728E9</v>
      </c>
      <c r="I26" s="4">
        <f t="shared" si="9"/>
        <v>0.2567565422</v>
      </c>
      <c r="J26" s="1">
        <v>0.76357272</v>
      </c>
      <c r="K26" s="1">
        <v>0.763572721260781</v>
      </c>
    </row>
    <row r="27">
      <c r="A27" s="1" t="s">
        <v>36</v>
      </c>
      <c r="B27" s="1">
        <v>2.807</v>
      </c>
      <c r="C27" s="1">
        <v>1.770760996E9</v>
      </c>
      <c r="D27" s="1">
        <v>7.16104212E8</v>
      </c>
      <c r="E27" s="4">
        <f>(C27+(D27/1000000000) - B27)</f>
        <v>1770760994</v>
      </c>
      <c r="F27" s="1" t="s">
        <v>18</v>
      </c>
      <c r="G27" s="1">
        <v>4.47</v>
      </c>
      <c r="H27" s="1">
        <v>1.77076099894117E9</v>
      </c>
      <c r="I27" s="4">
        <f t="shared" ref="I27:I29" si="10">(H27-$E$27)-G27</f>
        <v>0.56206563</v>
      </c>
      <c r="J27" s="1">
        <v>0.61755590226398</v>
      </c>
      <c r="K27" s="1">
        <v>0.61755590226398</v>
      </c>
    </row>
    <row r="28">
      <c r="F28" s="1" t="s">
        <v>15</v>
      </c>
      <c r="G28" s="1">
        <v>9.71</v>
      </c>
      <c r="H28" s="1">
        <v>1.77076100439885E9</v>
      </c>
      <c r="I28" s="4">
        <f t="shared" si="10"/>
        <v>0.7797456169</v>
      </c>
      <c r="J28" s="1">
        <v>1.0552651470203</v>
      </c>
      <c r="K28" s="1">
        <v>1.0552651470203</v>
      </c>
    </row>
    <row r="29">
      <c r="F29" s="1" t="s">
        <v>16</v>
      </c>
      <c r="G29" s="1">
        <v>12.442</v>
      </c>
      <c r="H29" s="1">
        <v>1.77076100749877E9</v>
      </c>
      <c r="I29" s="4">
        <f t="shared" si="10"/>
        <v>1.147665651</v>
      </c>
      <c r="J29" s="1">
        <v>0.706830325</v>
      </c>
      <c r="K29" s="1">
        <v>0.706830325</v>
      </c>
    </row>
    <row r="30">
      <c r="A30" s="1" t="s">
        <v>37</v>
      </c>
      <c r="B30" s="1">
        <v>1.474</v>
      </c>
      <c r="C30" s="1">
        <v>1.770761026E9</v>
      </c>
      <c r="D30" s="1">
        <v>3.83621551E8</v>
      </c>
      <c r="E30" s="4">
        <f>(C30+(D30/1000000000) - B30)</f>
        <v>1770761025</v>
      </c>
      <c r="F30" s="1" t="s">
        <v>18</v>
      </c>
      <c r="G30" s="1">
        <v>3.632</v>
      </c>
      <c r="H30" s="1">
        <v>1.77076102511432E9</v>
      </c>
      <c r="I30" s="4">
        <f t="shared" ref="I30:I32" si="11">(H30-$E$30)-G30</f>
        <v>-3.427301437</v>
      </c>
      <c r="J30" s="1">
        <v>0.648114875</v>
      </c>
      <c r="K30" s="1">
        <v>0.648114875180265</v>
      </c>
      <c r="M30" s="1" t="s">
        <v>54</v>
      </c>
    </row>
    <row r="31">
      <c r="F31" s="1" t="s">
        <v>15</v>
      </c>
      <c r="G31" s="1">
        <v>9.206</v>
      </c>
      <c r="H31" s="1">
        <v>1.77076103111397E9</v>
      </c>
      <c r="I31" s="4">
        <f t="shared" si="11"/>
        <v>-3.001651436</v>
      </c>
      <c r="J31" s="1">
        <v>0.89831661956</v>
      </c>
      <c r="K31" s="1">
        <v>0.898316619561315</v>
      </c>
    </row>
    <row r="32">
      <c r="F32" s="1" t="s">
        <v>16</v>
      </c>
      <c r="G32" s="1">
        <v>11.842</v>
      </c>
      <c r="H32" s="1">
        <v>1.77076103375919E9</v>
      </c>
      <c r="I32" s="4">
        <f t="shared" si="11"/>
        <v>-2.992431395</v>
      </c>
      <c r="J32" s="1">
        <v>0.729357808</v>
      </c>
      <c r="K32" s="1">
        <v>0.729357808900581</v>
      </c>
    </row>
    <row r="33">
      <c r="A33" s="1" t="s">
        <v>38</v>
      </c>
      <c r="B33" s="1">
        <v>1.665</v>
      </c>
      <c r="C33" s="1">
        <v>1.770761048E9</v>
      </c>
      <c r="D33" s="1">
        <v>5.7804167E8</v>
      </c>
      <c r="E33" s="4">
        <f>(C33+(D33/1000000000) - B33)</f>
        <v>1770761047</v>
      </c>
      <c r="F33" s="1" t="s">
        <v>18</v>
      </c>
      <c r="G33" s="1">
        <v>3.223</v>
      </c>
      <c r="H33" s="1">
        <v>1.77076105009919E9</v>
      </c>
      <c r="I33" s="4">
        <f t="shared" ref="I33:I35" si="12">(H33-$E$33)-G33</f>
        <v>-0.03685159492</v>
      </c>
      <c r="J33" s="1">
        <v>0.6756369776</v>
      </c>
      <c r="K33" s="1">
        <v>0.675636977604324</v>
      </c>
    </row>
    <row r="34">
      <c r="F34" s="1" t="s">
        <v>15</v>
      </c>
      <c r="G34" s="1">
        <v>8.948</v>
      </c>
      <c r="H34" s="1">
        <v>1.77076105599936E9</v>
      </c>
      <c r="I34" s="4">
        <f t="shared" si="12"/>
        <v>0.1383184929</v>
      </c>
      <c r="J34" s="1">
        <v>1.095908064</v>
      </c>
      <c r="K34" s="1">
        <v>1.09590806460465</v>
      </c>
    </row>
    <row r="35">
      <c r="F35" s="1" t="s">
        <v>16</v>
      </c>
      <c r="G35" s="1">
        <v>11.278</v>
      </c>
      <c r="H35" s="1">
        <v>1.77076105845936E9</v>
      </c>
      <c r="I35" s="4">
        <f t="shared" si="12"/>
        <v>0.2683182926</v>
      </c>
      <c r="J35" s="1">
        <v>0.7745111339</v>
      </c>
      <c r="K35" s="1">
        <v>0.774511133968132</v>
      </c>
    </row>
    <row r="36">
      <c r="A36" s="1" t="s">
        <v>39</v>
      </c>
      <c r="B36" s="1">
        <v>1.997</v>
      </c>
      <c r="C36" s="1">
        <v>1.77076107E9</v>
      </c>
      <c r="D36" s="1">
        <v>5.09913042E8</v>
      </c>
      <c r="E36" s="4">
        <f>(C36+(D36/1000000000) - B36)</f>
        <v>1770761069</v>
      </c>
      <c r="F36" s="1" t="s">
        <v>18</v>
      </c>
      <c r="G36" s="1">
        <v>4.17</v>
      </c>
      <c r="H36" s="1">
        <v>1.7707610725371E9</v>
      </c>
      <c r="I36" s="4">
        <f t="shared" ref="I36:I38" si="13">(H36-$E$36)-G36</f>
        <v>-0.145812912</v>
      </c>
      <c r="J36" s="1">
        <v>0.7324887418</v>
      </c>
      <c r="K36" s="1">
        <v>0.732488741877528</v>
      </c>
    </row>
    <row r="37">
      <c r="F37" s="1" t="s">
        <v>15</v>
      </c>
      <c r="G37" s="1">
        <v>9.198</v>
      </c>
      <c r="H37" s="1">
        <v>1.77076107763952E9</v>
      </c>
      <c r="I37" s="4">
        <f t="shared" si="13"/>
        <v>-0.07139305878</v>
      </c>
      <c r="J37" s="1">
        <v>1.032604115</v>
      </c>
      <c r="K37" s="1">
        <v>1.03260411553836</v>
      </c>
    </row>
    <row r="38">
      <c r="F38" s="1" t="s">
        <v>16</v>
      </c>
      <c r="G38" s="1">
        <v>11.563</v>
      </c>
      <c r="H38" s="1">
        <v>1.77076108015959E9</v>
      </c>
      <c r="I38" s="4">
        <f t="shared" si="13"/>
        <v>0.08367701721</v>
      </c>
      <c r="J38" s="1">
        <v>0.7585566574</v>
      </c>
      <c r="K38" s="1">
        <v>0.758556657407134</v>
      </c>
    </row>
    <row r="39">
      <c r="A39" s="1" t="s">
        <v>42</v>
      </c>
      <c r="B39" s="1">
        <v>2.03</v>
      </c>
      <c r="C39" s="1">
        <v>1.770761095E9</v>
      </c>
      <c r="D39" s="1">
        <v>3.12338231E8</v>
      </c>
      <c r="E39" s="4">
        <f>(C39+(D39/1000000000) - B39)</f>
        <v>1770761093</v>
      </c>
      <c r="F39" s="1" t="s">
        <v>18</v>
      </c>
      <c r="G39" s="1">
        <v>3.866</v>
      </c>
      <c r="H39" s="1">
        <v>1.77076109745987E9</v>
      </c>
      <c r="I39" s="4">
        <f t="shared" ref="I39:I41" si="14">(H39-$E$39)-G39</f>
        <v>0.3115319576</v>
      </c>
      <c r="J39" s="1">
        <v>0.6739674953607</v>
      </c>
      <c r="K39" s="1">
        <v>0.673967495360766</v>
      </c>
    </row>
    <row r="40">
      <c r="F40" s="1" t="s">
        <v>15</v>
      </c>
      <c r="G40" s="1">
        <v>8.595</v>
      </c>
      <c r="H40" s="1">
        <v>1.77076110244009E9</v>
      </c>
      <c r="I40" s="4">
        <f t="shared" si="14"/>
        <v>0.5627517986</v>
      </c>
      <c r="J40" s="1">
        <v>0.969790061</v>
      </c>
      <c r="K40" s="1">
        <v>0.969790061878825</v>
      </c>
    </row>
    <row r="41">
      <c r="F41" s="1" t="s">
        <v>16</v>
      </c>
      <c r="G41" s="1">
        <v>10.551</v>
      </c>
      <c r="H41" s="1">
        <v>1.77076110453492E9</v>
      </c>
      <c r="I41" s="4">
        <f t="shared" si="14"/>
        <v>0.7015818348</v>
      </c>
      <c r="J41" s="1">
        <v>1.128843535</v>
      </c>
      <c r="K41" s="1">
        <v>1.12884353579479</v>
      </c>
    </row>
    <row r="42">
      <c r="A42" s="1" t="s">
        <v>43</v>
      </c>
      <c r="B42" s="1">
        <v>1.498</v>
      </c>
      <c r="C42" s="1">
        <v>1.770761145E9</v>
      </c>
      <c r="D42" s="1">
        <v>9.05258708E8</v>
      </c>
      <c r="E42" s="4">
        <f>(C42+(D42/1000000000) - B42)</f>
        <v>1770761144</v>
      </c>
      <c r="F42" s="1" t="s">
        <v>18</v>
      </c>
      <c r="G42" s="1">
        <v>2.889</v>
      </c>
      <c r="H42" s="1">
        <v>1.77076114739714E9</v>
      </c>
      <c r="I42" s="4">
        <f t="shared" ref="I42:I44" si="15">(H42-$E$42)-G42</f>
        <v>0.1008812771</v>
      </c>
      <c r="J42" s="1">
        <v>0.6695189557</v>
      </c>
      <c r="K42" s="1">
        <v>0.6695189557</v>
      </c>
    </row>
    <row r="43">
      <c r="F43" s="1" t="s">
        <v>15</v>
      </c>
      <c r="G43" s="1">
        <v>8.071</v>
      </c>
      <c r="H43" s="1">
        <v>1.77076115284388E9</v>
      </c>
      <c r="I43" s="4">
        <f t="shared" si="15"/>
        <v>0.3656211891</v>
      </c>
      <c r="J43" s="1">
        <v>0.866458851919</v>
      </c>
      <c r="K43" s="1">
        <v>0.866458851919414</v>
      </c>
    </row>
    <row r="44">
      <c r="F44" s="1" t="s">
        <v>16</v>
      </c>
      <c r="G44" s="1">
        <v>12.898</v>
      </c>
      <c r="H44" s="1">
        <v>1.77076115770234E9</v>
      </c>
      <c r="I44" s="4">
        <f t="shared" si="15"/>
        <v>0.3970811386</v>
      </c>
      <c r="J44" s="1">
        <v>1.03785597322</v>
      </c>
      <c r="K44" s="1">
        <v>1.03785597322694</v>
      </c>
    </row>
    <row r="45">
      <c r="A45" s="1" t="s">
        <v>44</v>
      </c>
      <c r="B45" s="1">
        <v>2.132</v>
      </c>
      <c r="C45" s="1">
        <v>1.77076117E9</v>
      </c>
      <c r="D45" s="1">
        <v>8.54219611E8</v>
      </c>
      <c r="E45" s="4">
        <f>(C45+(D45/1000000000) - B45)</f>
        <v>1770761169</v>
      </c>
      <c r="F45" s="1" t="s">
        <v>18</v>
      </c>
      <c r="G45" s="1">
        <v>4.343</v>
      </c>
      <c r="H45" s="1">
        <v>1.7707611731808E9</v>
      </c>
      <c r="I45" s="4">
        <f t="shared" ref="I45:I47" si="16">(H45-$E$45)-G45</f>
        <v>0.1155802555</v>
      </c>
      <c r="J45" s="1">
        <v>0.70586388</v>
      </c>
      <c r="K45" s="1">
        <v>0.705863888316813</v>
      </c>
    </row>
    <row r="46">
      <c r="F46" s="1" t="s">
        <v>15</v>
      </c>
      <c r="G46" s="1">
        <v>11.169</v>
      </c>
      <c r="H46" s="1">
        <v>1.77076118008072E9</v>
      </c>
      <c r="I46" s="4">
        <f t="shared" si="16"/>
        <v>0.1895002422</v>
      </c>
      <c r="J46" s="1">
        <v>1.04363914026</v>
      </c>
      <c r="K46" s="1">
        <v>1.04363914026566</v>
      </c>
    </row>
    <row r="47">
      <c r="F47" s="1" t="s">
        <v>16</v>
      </c>
      <c r="G47" s="1">
        <v>13.503</v>
      </c>
      <c r="H47" s="1">
        <v>1.77076118252112E9</v>
      </c>
      <c r="I47" s="4">
        <f t="shared" si="16"/>
        <v>0.2959003658</v>
      </c>
      <c r="J47" s="1">
        <v>0.707019276299</v>
      </c>
      <c r="K47" s="1">
        <v>0.707019276299229</v>
      </c>
    </row>
    <row r="48">
      <c r="A48" s="1" t="s">
        <v>45</v>
      </c>
      <c r="B48" s="1">
        <v>1.435</v>
      </c>
      <c r="C48" s="1">
        <v>1.77076121E9</v>
      </c>
      <c r="D48" s="1">
        <v>5.21526603E8</v>
      </c>
      <c r="E48" s="4">
        <f>(C48+(D48/1000000000) - B48)</f>
        <v>1770761209</v>
      </c>
      <c r="F48" s="1" t="s">
        <v>18</v>
      </c>
      <c r="G48" s="1">
        <v>3.165</v>
      </c>
      <c r="H48" s="1">
        <v>1.77076121205828E9</v>
      </c>
      <c r="I48" s="4">
        <f t="shared" ref="I48:I50" si="17">(H48-$E$48)-G48</f>
        <v>-0.1932466412</v>
      </c>
      <c r="J48" s="1">
        <v>0.699352949338</v>
      </c>
      <c r="K48" s="1">
        <v>0.699352949338323</v>
      </c>
    </row>
    <row r="49">
      <c r="F49" s="1" t="s">
        <v>15</v>
      </c>
      <c r="G49" s="1">
        <v>10.743</v>
      </c>
      <c r="H49" s="1">
        <v>1.77076121985653E9</v>
      </c>
      <c r="I49" s="4">
        <f t="shared" si="17"/>
        <v>0.02700331879</v>
      </c>
      <c r="J49" s="1">
        <v>0.818350519855363</v>
      </c>
      <c r="K49" s="1">
        <v>0.818350519855363</v>
      </c>
    </row>
    <row r="50">
      <c r="F50" s="1" t="s">
        <v>16</v>
      </c>
      <c r="G50" s="1">
        <v>13.011</v>
      </c>
      <c r="H50" s="1">
        <v>1.77076122192119E9</v>
      </c>
      <c r="I50" s="4">
        <f t="shared" si="17"/>
        <v>-0.1763366089</v>
      </c>
      <c r="J50" s="1">
        <v>0.71574128619</v>
      </c>
      <c r="K50" s="1">
        <v>0.715741286195749</v>
      </c>
    </row>
  </sheetData>
  <mergeCells count="1">
    <mergeCell ref="N4:O4"/>
  </mergeCells>
  <dataValidations>
    <dataValidation type="list" allowBlank="1" showErrorMessage="1" sqref="F3:F50">
      <formula1>"Cardboard,Acrylic,Tile"</formula1>
    </dataValidation>
  </dataValidations>
  <hyperlinks>
    <hyperlink r:id="rId1" ref="L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55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/>
      <c r="L2" s="22"/>
    </row>
    <row r="3">
      <c r="A3" s="1" t="s">
        <v>56</v>
      </c>
      <c r="F3" s="1" t="s">
        <v>18</v>
      </c>
      <c r="I3" s="1">
        <v>-0.3593218918</v>
      </c>
      <c r="J3" s="1">
        <v>0.763113575605809</v>
      </c>
    </row>
    <row r="4">
      <c r="F4" s="1" t="s">
        <v>15</v>
      </c>
      <c r="I4" s="1">
        <v>-0.07829483032</v>
      </c>
      <c r="J4" s="1">
        <v>0.793845246372317</v>
      </c>
      <c r="N4" s="23"/>
    </row>
    <row r="5">
      <c r="A5" s="1" t="s">
        <v>57</v>
      </c>
      <c r="F5" s="1" t="s">
        <v>18</v>
      </c>
      <c r="I5" s="1">
        <v>-0.3581443977</v>
      </c>
      <c r="J5" s="1">
        <v>0.763412426652217</v>
      </c>
    </row>
    <row r="6">
      <c r="F6" s="1" t="s">
        <v>15</v>
      </c>
      <c r="I6" s="1">
        <v>-0.3985070839</v>
      </c>
      <c r="J6" s="1">
        <v>0.828024896896588</v>
      </c>
    </row>
    <row r="7">
      <c r="A7" s="1" t="s">
        <v>58</v>
      </c>
      <c r="F7" s="1" t="s">
        <v>18</v>
      </c>
      <c r="I7" s="1">
        <v>-0.5199084873</v>
      </c>
      <c r="J7" s="1">
        <v>0.814901022587304</v>
      </c>
      <c r="K7" s="1" t="s">
        <v>59</v>
      </c>
    </row>
    <row r="8">
      <c r="F8" s="1" t="s">
        <v>15</v>
      </c>
      <c r="I8" s="1">
        <v>-0.5592835636</v>
      </c>
      <c r="J8" s="1">
        <v>1.17344089989291</v>
      </c>
    </row>
    <row r="9">
      <c r="A9" s="1" t="s">
        <v>60</v>
      </c>
      <c r="F9" s="1" t="s">
        <v>18</v>
      </c>
      <c r="I9" s="1">
        <v>-0.3503653774</v>
      </c>
      <c r="J9" s="1">
        <v>0.740234929508903</v>
      </c>
      <c r="N9" s="1"/>
    </row>
    <row r="10">
      <c r="F10" s="1" t="s">
        <v>15</v>
      </c>
      <c r="I10" s="1">
        <v>-0.5291064606</v>
      </c>
      <c r="J10" s="1">
        <v>1.22715726457085</v>
      </c>
    </row>
    <row r="11">
      <c r="A11" s="1" t="s">
        <v>61</v>
      </c>
      <c r="F11" s="1" t="s">
        <v>18</v>
      </c>
      <c r="I11" s="1">
        <v>-0.0174</v>
      </c>
      <c r="J11" s="1">
        <v>0.760669434604679</v>
      </c>
    </row>
    <row r="12">
      <c r="F12" s="1" t="s">
        <v>15</v>
      </c>
      <c r="I12" s="1">
        <v>-0.0907308</v>
      </c>
      <c r="J12" s="1">
        <v>1.09487519747564</v>
      </c>
    </row>
    <row r="13">
      <c r="A13" s="1" t="s">
        <v>62</v>
      </c>
      <c r="F13" s="1" t="s">
        <v>18</v>
      </c>
      <c r="I13" s="1">
        <v>-0.1088781071</v>
      </c>
      <c r="J13" s="1">
        <v>0.628309729989487</v>
      </c>
    </row>
    <row r="14">
      <c r="F14" s="1" t="s">
        <v>15</v>
      </c>
      <c r="I14" s="1">
        <v>-0.002933063507</v>
      </c>
      <c r="J14" s="1">
        <v>1.07460314651747</v>
      </c>
      <c r="N14" s="23"/>
    </row>
    <row r="15">
      <c r="A15" s="1" t="s">
        <v>63</v>
      </c>
      <c r="F15" s="1" t="s">
        <v>18</v>
      </c>
      <c r="I15" s="1">
        <v>-0.04027332115</v>
      </c>
      <c r="J15" s="1">
        <v>0.767427665351752</v>
      </c>
      <c r="N15" s="23"/>
      <c r="O15" s="23"/>
      <c r="P15" s="23"/>
    </row>
    <row r="16">
      <c r="F16" s="1" t="s">
        <v>15</v>
      </c>
      <c r="I16" s="1">
        <v>-0.2078143559</v>
      </c>
      <c r="J16" s="1">
        <v>1.14565358823941</v>
      </c>
    </row>
    <row r="17">
      <c r="A17" s="1" t="s">
        <v>64</v>
      </c>
      <c r="F17" s="1" t="s">
        <v>18</v>
      </c>
      <c r="I17" s="1">
        <v>-0.4684307613</v>
      </c>
      <c r="J17" s="1">
        <v>0.809066930637366</v>
      </c>
    </row>
    <row r="18">
      <c r="F18" s="1" t="s">
        <v>15</v>
      </c>
      <c r="I18" s="1">
        <v>-0.7723274364</v>
      </c>
      <c r="J18" s="1">
        <v>0.973226044657335</v>
      </c>
    </row>
    <row r="19">
      <c r="A19" s="1" t="s">
        <v>65</v>
      </c>
      <c r="F19" s="1" t="s">
        <v>18</v>
      </c>
      <c r="I19" s="1">
        <v>-0.1678700237</v>
      </c>
      <c r="J19" s="1">
        <v>0.834754075969047</v>
      </c>
    </row>
    <row r="20">
      <c r="F20" s="1" t="s">
        <v>15</v>
      </c>
      <c r="I20" s="1">
        <v>-0.3630180092</v>
      </c>
      <c r="J20" s="1">
        <v>0.968395304171192</v>
      </c>
    </row>
    <row r="21">
      <c r="A21" s="1" t="s">
        <v>66</v>
      </c>
      <c r="F21" s="1" t="s">
        <v>18</v>
      </c>
      <c r="I21" s="1">
        <v>-0.1261467972</v>
      </c>
      <c r="J21" s="1">
        <v>0.785239932496206</v>
      </c>
    </row>
    <row r="22">
      <c r="F22" s="1" t="s">
        <v>15</v>
      </c>
      <c r="I22" s="1">
        <v>-0.172028698</v>
      </c>
      <c r="J22" s="1">
        <v>0.956274920969863</v>
      </c>
    </row>
    <row r="23">
      <c r="A23" s="1" t="s">
        <v>67</v>
      </c>
      <c r="F23" s="1" t="s">
        <v>18</v>
      </c>
      <c r="I23" s="1">
        <v>-0.449094698</v>
      </c>
      <c r="J23" s="1">
        <v>0.778745713440709</v>
      </c>
    </row>
    <row r="24">
      <c r="F24" s="1" t="s">
        <v>15</v>
      </c>
      <c r="I24" s="1">
        <v>-0.5097266426</v>
      </c>
      <c r="J24" s="1">
        <v>1.08833633722298</v>
      </c>
    </row>
    <row r="25">
      <c r="A25" s="1" t="s">
        <v>68</v>
      </c>
      <c r="F25" s="1" t="s">
        <v>18</v>
      </c>
      <c r="I25" s="1">
        <v>-0.6748091412</v>
      </c>
      <c r="J25" s="1">
        <v>0.779149199403388</v>
      </c>
    </row>
    <row r="26">
      <c r="F26" s="1" t="s">
        <v>15</v>
      </c>
      <c r="I26" s="1">
        <v>-0.7548442802</v>
      </c>
      <c r="J26" s="1">
        <v>1.04059580837144</v>
      </c>
    </row>
    <row r="27">
      <c r="A27" s="1" t="s">
        <v>69</v>
      </c>
      <c r="F27" s="1" t="s">
        <v>18</v>
      </c>
      <c r="I27" s="1">
        <v>-0.4839674988</v>
      </c>
      <c r="J27" s="1">
        <v>0.728108161003053</v>
      </c>
    </row>
    <row r="28">
      <c r="F28" s="1" t="s">
        <v>15</v>
      </c>
      <c r="I28" s="1">
        <v>-0.5508656635</v>
      </c>
      <c r="J28" s="1">
        <v>1.10619104726854</v>
      </c>
    </row>
    <row r="29">
      <c r="A29" s="1" t="s">
        <v>70</v>
      </c>
      <c r="F29" s="1" t="s">
        <v>18</v>
      </c>
      <c r="I29" s="1">
        <v>-0.7918550854</v>
      </c>
      <c r="J29" s="1">
        <v>0.736063435096384</v>
      </c>
      <c r="K29" s="1" t="s">
        <v>59</v>
      </c>
    </row>
    <row r="30">
      <c r="F30" s="1" t="s">
        <v>15</v>
      </c>
      <c r="I30" s="1">
        <v>-0.8813103104</v>
      </c>
      <c r="J30" s="1">
        <v>0.901801584239574</v>
      </c>
    </row>
    <row r="31">
      <c r="A31" s="1" t="s">
        <v>71</v>
      </c>
      <c r="F31" s="1" t="s">
        <v>18</v>
      </c>
      <c r="I31" s="1">
        <v>-1.046942839</v>
      </c>
      <c r="J31" s="1">
        <v>0.761660180671593</v>
      </c>
    </row>
    <row r="32">
      <c r="F32" s="1" t="s">
        <v>15</v>
      </c>
      <c r="I32" s="1">
        <v>0.1557638245</v>
      </c>
      <c r="J32" s="1">
        <v>1.11042690403592</v>
      </c>
    </row>
    <row r="33">
      <c r="A33" s="1" t="s">
        <v>72</v>
      </c>
      <c r="F33" s="1" t="s">
        <v>18</v>
      </c>
      <c r="I33" s="1">
        <v>-0.3792706852</v>
      </c>
      <c r="J33" s="1">
        <v>0.746394721629512</v>
      </c>
    </row>
    <row r="34">
      <c r="F34" s="1" t="s">
        <v>15</v>
      </c>
      <c r="I34" s="1">
        <v>-0.6077622299</v>
      </c>
      <c r="J34" s="1">
        <v>1.0645070887192</v>
      </c>
    </row>
    <row r="35">
      <c r="A35" s="1" t="s">
        <v>73</v>
      </c>
      <c r="F35" s="1" t="s">
        <v>18</v>
      </c>
      <c r="I35" s="1">
        <v>-0.7158960934</v>
      </c>
      <c r="J35" s="1">
        <v>0.75890438012272</v>
      </c>
    </row>
    <row r="36">
      <c r="F36" s="1" t="s">
        <v>15</v>
      </c>
      <c r="I36" s="1">
        <v>-0.796139555</v>
      </c>
      <c r="J36" s="1">
        <v>1.80353363723467</v>
      </c>
    </row>
    <row r="37">
      <c r="A37" s="1" t="s">
        <v>74</v>
      </c>
      <c r="F37" s="1" t="s">
        <v>18</v>
      </c>
      <c r="I37" s="1">
        <v>-0.297124033</v>
      </c>
      <c r="J37" s="1">
        <v>0.770683707110712</v>
      </c>
    </row>
    <row r="38">
      <c r="F38" s="1" t="s">
        <v>15</v>
      </c>
      <c r="I38" s="1">
        <v>-0.3568248653</v>
      </c>
      <c r="J38" s="1">
        <v>1.49516557790643</v>
      </c>
    </row>
    <row r="39">
      <c r="A39" s="1" t="s">
        <v>75</v>
      </c>
      <c r="F39" s="1" t="s">
        <v>18</v>
      </c>
      <c r="I39" s="1">
        <v>-0.4598282928</v>
      </c>
      <c r="J39" s="1">
        <v>0.733246752616832</v>
      </c>
    </row>
    <row r="40">
      <c r="F40" s="1" t="s">
        <v>15</v>
      </c>
      <c r="I40" s="1">
        <v>-0.5468988705</v>
      </c>
      <c r="J40" s="1">
        <v>1.18100476015462</v>
      </c>
    </row>
    <row r="41">
      <c r="A41" s="1" t="s">
        <v>76</v>
      </c>
      <c r="F41" s="1" t="s">
        <v>18</v>
      </c>
      <c r="I41" s="1">
        <v>-0.2719067383</v>
      </c>
      <c r="J41" s="1">
        <v>0.731822272290115</v>
      </c>
    </row>
    <row r="42">
      <c r="F42" s="1" t="s">
        <v>15</v>
      </c>
      <c r="I42" s="1">
        <v>-0.3739210033</v>
      </c>
      <c r="J42" s="1">
        <v>0.85893421798748</v>
      </c>
    </row>
    <row r="52">
      <c r="M52" s="2"/>
      <c r="N52" s="24"/>
      <c r="O52" s="24"/>
      <c r="P52" s="24"/>
    </row>
    <row r="53">
      <c r="M53" s="2"/>
      <c r="N53" s="24"/>
      <c r="O53" s="24"/>
      <c r="P53" s="24"/>
    </row>
  </sheetData>
  <mergeCells count="2">
    <mergeCell ref="N4:O4"/>
    <mergeCell ref="N14:P14"/>
  </mergeCells>
  <dataValidations>
    <dataValidation type="list" allowBlank="1" showErrorMessage="1" sqref="F3:F42">
      <formula1>"Cardboard,Acrylic,Tile"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7" max="7" width="13.88"/>
    <col customWidth="1" min="8" max="8" width="16.38"/>
  </cols>
  <sheetData>
    <row r="1">
      <c r="B1" s="14" t="s">
        <v>77</v>
      </c>
      <c r="C1" s="15"/>
      <c r="D1" s="15"/>
      <c r="E1" s="15"/>
      <c r="F1" s="16"/>
    </row>
    <row r="2">
      <c r="B2" s="19"/>
      <c r="C2" s="14" t="s">
        <v>32</v>
      </c>
      <c r="D2" s="16"/>
      <c r="E2" s="14" t="s">
        <v>41</v>
      </c>
      <c r="F2" s="16"/>
    </row>
    <row r="3">
      <c r="A3" s="25" t="s">
        <v>78</v>
      </c>
      <c r="B3" s="26" t="s">
        <v>79</v>
      </c>
      <c r="C3" s="17" t="s">
        <v>80</v>
      </c>
      <c r="D3" s="17" t="s">
        <v>81</v>
      </c>
      <c r="E3" s="17" t="s">
        <v>80</v>
      </c>
      <c r="F3" s="17" t="s">
        <v>82</v>
      </c>
    </row>
    <row r="4">
      <c r="A4" s="27" t="s">
        <v>18</v>
      </c>
      <c r="B4" s="28">
        <v>0.6980994152</v>
      </c>
      <c r="C4" s="18">
        <f>'Assam Track 1'!O7</f>
        <v>0.690969652</v>
      </c>
      <c r="D4" s="29">
        <f>(B4-C4)/B4</f>
        <v>0.01021310589</v>
      </c>
      <c r="E4" s="18">
        <f>'Assam Track 2'!O5</f>
        <v>0.6865247165</v>
      </c>
      <c r="F4" s="29">
        <f t="shared" ref="F4:F6" si="1">(B4-E4)/B4</f>
        <v>0.01658030143</v>
      </c>
    </row>
    <row r="5">
      <c r="A5" s="27" t="s">
        <v>15</v>
      </c>
      <c r="B5" s="28">
        <v>0.9884868421</v>
      </c>
      <c r="C5" s="18">
        <f>'Assam Track 1'!O5</f>
        <v>1.039647564</v>
      </c>
      <c r="D5" s="29">
        <f t="shared" ref="D5:D6" si="2">(C5-B5)/B5</f>
        <v>0.05175660385</v>
      </c>
      <c r="E5" s="18">
        <f>'Assam Track 2'!O6</f>
        <v>0.9673150137</v>
      </c>
      <c r="F5" s="29">
        <f t="shared" si="1"/>
        <v>0.02141842203</v>
      </c>
    </row>
    <row r="6">
      <c r="A6" s="27" t="s">
        <v>16</v>
      </c>
      <c r="B6" s="28">
        <v>0.8495979532</v>
      </c>
      <c r="C6" s="18">
        <f>'Assam Track 1'!O6</f>
        <v>0.871040444</v>
      </c>
      <c r="D6" s="29">
        <f t="shared" si="2"/>
        <v>0.02523839743</v>
      </c>
      <c r="E6" s="18">
        <f>'Assam Track 2'!O7</f>
        <v>0.8471073589</v>
      </c>
      <c r="F6" s="29">
        <f t="shared" si="1"/>
        <v>0.002931497528</v>
      </c>
      <c r="G6" s="30" t="s">
        <v>83</v>
      </c>
      <c r="H6" s="30" t="s">
        <v>84</v>
      </c>
      <c r="I6" s="1" t="s">
        <v>85</v>
      </c>
    </row>
    <row r="7">
      <c r="A7" s="27" t="s">
        <v>86</v>
      </c>
      <c r="B7" s="18"/>
      <c r="C7" s="18">
        <f>averageif('Assam Track 1'!F3:F62,"Tile",'Assam Track 1'!I3:I62)</f>
        <v>0.2839774929</v>
      </c>
      <c r="D7" s="18"/>
      <c r="E7" s="18">
        <f>averageif('Assam Track 2'!F3:F50,"Tile",'Assam Track 2'!I3:I50)</f>
        <v>-0.08873958135</v>
      </c>
      <c r="F7" s="18"/>
      <c r="G7" s="31">
        <f>'Assam Track 1'!N72</f>
        <v>0.4073898641</v>
      </c>
      <c r="H7" s="31">
        <f>'Assam Track 1'!N73</f>
        <v>0.5340177569</v>
      </c>
      <c r="I7" s="1" t="s">
        <v>87</v>
      </c>
    </row>
    <row r="8">
      <c r="A8" s="27" t="s">
        <v>88</v>
      </c>
      <c r="B8" s="18"/>
      <c r="C8" s="18">
        <f>averageif('Assam Track 1'!F3:F62,"Cardboard",'Assam Track 1'!I3:I62)</f>
        <v>0.4550984776</v>
      </c>
      <c r="D8" s="18"/>
      <c r="E8" s="18">
        <f>averageif('Assam Track 2'!F3:F50,"Cardboard",'Assam Track 2'!I3:I50)</f>
        <v>0.1151941533</v>
      </c>
      <c r="F8" s="18"/>
      <c r="G8" s="31">
        <f>'Assam Track 1'!O72</f>
        <v>0.475633565</v>
      </c>
      <c r="H8" s="31">
        <f>'Assam Track 1'!O73</f>
        <v>0.4957907394</v>
      </c>
      <c r="I8" s="1" t="s">
        <v>89</v>
      </c>
    </row>
    <row r="9">
      <c r="A9" s="27" t="s">
        <v>90</v>
      </c>
      <c r="B9" s="18"/>
      <c r="C9" s="18">
        <f>AVERAGEIF('Assam Track 1'!F3:F62,"Acrylic",'Assam Track 1'!I3:I62)</f>
        <v>0.5180959937</v>
      </c>
      <c r="D9" s="18"/>
      <c r="E9" s="18">
        <f>averageif('Assam Track 2'!F3:F50,"Acrylic",'Assam Track 2'!I3:I50)</f>
        <v>0.2372004153</v>
      </c>
      <c r="F9" s="18"/>
      <c r="G9" s="31">
        <f>'Assam Track 1'!P72</f>
        <v>0.5782367503</v>
      </c>
      <c r="H9" s="31">
        <f>'Assam Track 1'!P73</f>
        <v>0.6093412221</v>
      </c>
      <c r="I9" s="1" t="s">
        <v>91</v>
      </c>
    </row>
    <row r="11">
      <c r="B11" s="1" t="s">
        <v>92</v>
      </c>
      <c r="G11" s="1" t="s">
        <v>93</v>
      </c>
    </row>
    <row r="14">
      <c r="B14" s="1" t="s">
        <v>94</v>
      </c>
    </row>
    <row r="15">
      <c r="B15" s="1" t="s">
        <v>95</v>
      </c>
      <c r="C15" s="1">
        <v>0.9865</v>
      </c>
    </row>
    <row r="16">
      <c r="B16" s="1" t="s">
        <v>96</v>
      </c>
      <c r="C16" s="1">
        <v>1.0</v>
      </c>
    </row>
    <row r="17">
      <c r="B17" s="1" t="s">
        <v>97</v>
      </c>
      <c r="C17" s="1">
        <v>0.9932</v>
      </c>
    </row>
    <row r="23">
      <c r="B23" s="32" t="s">
        <v>98</v>
      </c>
    </row>
    <row r="24">
      <c r="B24" s="1" t="s">
        <v>99</v>
      </c>
    </row>
    <row r="25">
      <c r="B25" s="1" t="s">
        <v>100</v>
      </c>
    </row>
    <row r="26">
      <c r="B26" s="1" t="s">
        <v>101</v>
      </c>
    </row>
    <row r="27">
      <c r="B27" s="1" t="s">
        <v>102</v>
      </c>
    </row>
    <row r="28">
      <c r="B28" s="1" t="s">
        <v>103</v>
      </c>
    </row>
    <row r="29">
      <c r="B29" s="1" t="s">
        <v>104</v>
      </c>
    </row>
  </sheetData>
  <mergeCells count="3">
    <mergeCell ref="B1:F1"/>
    <mergeCell ref="C2:D2"/>
    <mergeCell ref="E2:F2"/>
  </mergeCells>
  <drawing r:id="rId1"/>
</worksheet>
</file>