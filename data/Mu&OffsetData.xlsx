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samTrack1NewThresholding" sheetId="1" r:id="rId5"/>
    <sheet state="visible" name="PRECISION RESULTS" sheetId="2" r:id="rId6"/>
    <sheet state="visible" name="AssamTrack2NewThresholding" sheetId="3" r:id="rId7"/>
    <sheet state="visible" name="AssamTrack3NewThresholding" sheetId="4" r:id="rId8"/>
    <sheet state="visible" name="K Fold Results" sheetId="5" r:id="rId9"/>
  </sheets>
  <definedNames/>
  <calcPr/>
</workbook>
</file>

<file path=xl/sharedStrings.xml><?xml version="1.0" encoding="utf-8"?>
<sst xmlns="http://schemas.openxmlformats.org/spreadsheetml/2006/main" count="846" uniqueCount="341">
  <si>
    <t>Assam Track 1</t>
  </si>
  <si>
    <t>notes:</t>
  </si>
  <si>
    <t>Bag Number</t>
  </si>
  <si>
    <t>Throttle Start (Video)</t>
  </si>
  <si>
    <t>Thr Start (Bag, Sec)</t>
  </si>
  <si>
    <t>Thr Start (Bag, Nano)</t>
  </si>
  <si>
    <t>Video-Bag Offset</t>
  </si>
  <si>
    <t>Surface</t>
  </si>
  <si>
    <t>Time (Video)</t>
  </si>
  <si>
    <t>Time (Bag)</t>
  </si>
  <si>
    <t>Offset (s)</t>
  </si>
  <si>
    <t>Mu Value</t>
  </si>
  <si>
    <r>
      <rPr/>
      <t xml:space="preserve">using </t>
    </r>
    <r>
      <rPr>
        <color rgb="FF1155CC"/>
        <u/>
      </rPr>
      <t>https://github.com/mpc-hc/mpc-hc</t>
    </r>
    <r>
      <rPr/>
      <t xml:space="preserve"> to open the videos and see the high-precision time</t>
    </r>
  </si>
  <si>
    <t>Bag 1</t>
  </si>
  <si>
    <t>Cardboard</t>
  </si>
  <si>
    <t>Acrylic</t>
  </si>
  <si>
    <t>Average</t>
  </si>
  <si>
    <t>Tile</t>
  </si>
  <si>
    <t>Bag 2</t>
  </si>
  <si>
    <t>Bag 3</t>
  </si>
  <si>
    <t>Offset</t>
  </si>
  <si>
    <t>offset specific</t>
  </si>
  <si>
    <t>Bag 4</t>
  </si>
  <si>
    <t>cardboard</t>
  </si>
  <si>
    <t>offset Calculation (with ABS)</t>
  </si>
  <si>
    <t>Offset (WITHOUT ABS)</t>
  </si>
  <si>
    <t>Bag 5</t>
  </si>
  <si>
    <t>TILE</t>
  </si>
  <si>
    <t>CARDBOARD</t>
  </si>
  <si>
    <t>ACRYLIC</t>
  </si>
  <si>
    <t>Track 1 Values</t>
  </si>
  <si>
    <t>Track 1</t>
  </si>
  <si>
    <t>Bag 6</t>
  </si>
  <si>
    <t>Bag 7</t>
  </si>
  <si>
    <t>Bag 8</t>
  </si>
  <si>
    <t>Bag 9</t>
  </si>
  <si>
    <t>Bag 10</t>
  </si>
  <si>
    <t>Bag 11</t>
  </si>
  <si>
    <t>Bag 12</t>
  </si>
  <si>
    <t>Track 2 Values</t>
  </si>
  <si>
    <t>Track 2</t>
  </si>
  <si>
    <t>Bag 13</t>
  </si>
  <si>
    <t>Bag 14</t>
  </si>
  <si>
    <t>Bag 15</t>
  </si>
  <si>
    <t>Bag 16</t>
  </si>
  <si>
    <t>Bag 17</t>
  </si>
  <si>
    <t>Track 3</t>
  </si>
  <si>
    <t>Bag 18</t>
  </si>
  <si>
    <t>Bag 19</t>
  </si>
  <si>
    <t>Bag 20</t>
  </si>
  <si>
    <t>Standard Deviaiton</t>
  </si>
  <si>
    <t>Variance</t>
  </si>
  <si>
    <t>PYTHON SCRIPT</t>
  </si>
  <si>
    <t>tile = (</t>
  </si>
  <si>
    <t>Tile MAE: 0.045671434703571455</t>
  </si>
  <si>
    <t>0.69180242,</t>
  </si>
  <si>
    <t>Tile MRE %: 6.619048507763979</t>
  </si>
  <si>
    <t>0.69359566,</t>
  </si>
  <si>
    <t>Cardboard MAE: 0.12204189921964285</t>
  </si>
  <si>
    <t>0.66521889,</t>
  </si>
  <si>
    <t>Cardboard MRE %: 11.964892080357144</t>
  </si>
  <si>
    <t>0.6785552684,</t>
  </si>
  <si>
    <t>Acrylic MAE: 0.14036385124166664</t>
  </si>
  <si>
    <t>0.7404798108,</t>
  </si>
  <si>
    <t>Acrylic MRE %: 16.709982290674603</t>
  </si>
  <si>
    <t>0.7223886906,</t>
  </si>
  <si>
    <t>DETECTION SCORES</t>
  </si>
  <si>
    <t>Tile Mean: 0.7157199866321429</t>
  </si>
  <si>
    <t>0.693855759,</t>
  </si>
  <si>
    <t>Precision</t>
  </si>
  <si>
    <t>Cardboard Mean: 1.0332178404232144</t>
  </si>
  <si>
    <t>0.6759991876,</t>
  </si>
  <si>
    <t>Acrylic Mean: 0.8670846764416666</t>
  </si>
  <si>
    <t>0.6175559023,</t>
  </si>
  <si>
    <t>0.648114875,</t>
  </si>
  <si>
    <t>0.6756369776,</t>
  </si>
  <si>
    <t>Recall</t>
  </si>
  <si>
    <t>0.7324887418,</t>
  </si>
  <si>
    <t>0.7585566574,</t>
  </si>
  <si>
    <t>0.6695189557,</t>
  </si>
  <si>
    <t>0.70586388,</t>
  </si>
  <si>
    <t>F1 Score</t>
  </si>
  <si>
    <t>0.6993529493,</t>
  </si>
  <si>
    <t>0.6960932134,</t>
  </si>
  <si>
    <t>0.711716796,</t>
  </si>
  <si>
    <t>0.7205852602,</t>
  </si>
  <si>
    <t>0.7014588838,</t>
  </si>
  <si>
    <t>0.7630843658,</t>
  </si>
  <si>
    <t>0.65954879,</t>
  </si>
  <si>
    <t>OFFSET SCORES</t>
  </si>
  <si>
    <t>0.6950948899,</t>
  </si>
  <si>
    <t>0.39616051 +- 0.5277770224</t>
  </si>
  <si>
    <t>0.6912420848,</t>
  </si>
  <si>
    <t>0.4516538837 +- 0.488965196</t>
  </si>
  <si>
    <t>0.7504805015,</t>
  </si>
  <si>
    <t>0.5285442784 +- 0.6097834491</t>
  </si>
  <si>
    <t>0.6795514235,</t>
  </si>
  <si>
    <t>0.7371280318,</t>
  </si>
  <si>
    <t>0.6586842966,</t>
  </si>
  <si>
    <t>0.7251524385,</t>
  </si>
  <si>
    <t>0.6678314216,</t>
  </si>
  <si>
    <t>0.6395216272,</t>
  </si>
  <si>
    <t>0.630516063,</t>
  </si>
  <si>
    <t>0.5967960455,</t>
  </si>
  <si>
    <t>0.6952665292,</t>
  </si>
  <si>
    <t>0.6998873186,</t>
  </si>
  <si>
    <t>0.6997863982,</t>
  </si>
  <si>
    <t>0.7631135756,</t>
  </si>
  <si>
    <t>0.7634124267,</t>
  </si>
  <si>
    <t>0.8149010226,</t>
  </si>
  <si>
    <t>0.7402349295,</t>
  </si>
  <si>
    <t>0.7606694346,</t>
  </si>
  <si>
    <t>0.62830973,</t>
  </si>
  <si>
    <t>0.7674276654,</t>
  </si>
  <si>
    <t>0.8090669306,</t>
  </si>
  <si>
    <t>0.834754076,</t>
  </si>
  <si>
    <t>0.7852399325,</t>
  </si>
  <si>
    <t>0.7787457134,</t>
  </si>
  <si>
    <t>0.7791491994,</t>
  </si>
  <si>
    <t>0.728108161,</t>
  </si>
  <si>
    <t>0.7360634351,</t>
  </si>
  <si>
    <t>0.7616601807,</t>
  </si>
  <si>
    <t>0.7463947216,</t>
  </si>
  <si>
    <t>0.7589043801,</t>
  </si>
  <si>
    <t>0.7706837071,</t>
  </si>
  <si>
    <t>0.7332467526,</t>
  </si>
  <si>
    <t>0.7318222723,</t>
  </si>
  <si>
    <t>)</t>
  </si>
  <si>
    <t>cardboard = (</t>
  </si>
  <si>
    <t>0.99076323,</t>
  </si>
  <si>
    <t>1.057365016,</t>
  </si>
  <si>
    <t>0.92923112,</t>
  </si>
  <si>
    <t>0.8446965494,</t>
  </si>
  <si>
    <t>1.041958061,</t>
  </si>
  <si>
    <t>0.87503858,</t>
  </si>
  <si>
    <t>0.8980291949,</t>
  </si>
  <si>
    <t>1.05962595,</t>
  </si>
  <si>
    <t>1.055265147,</t>
  </si>
  <si>
    <t>0.8983166196,</t>
  </si>
  <si>
    <t>1.095908064,</t>
  </si>
  <si>
    <t>1.032604115,</t>
  </si>
  <si>
    <t>0.6739674954,</t>
  </si>
  <si>
    <t>0.8664588519,</t>
  </si>
  <si>
    <t>1.04363914,</t>
  </si>
  <si>
    <t>0.8183505199,</t>
  </si>
  <si>
    <t>0.8415899703,</t>
  </si>
  <si>
    <t>1.125711839,</t>
  </si>
  <si>
    <t>1.17147256,</t>
  </si>
  <si>
    <t>0.9486374599,</t>
  </si>
  <si>
    <t>1.093933765,</t>
  </si>
  <si>
    <t>1.223298434,</t>
  </si>
  <si>
    <t>1.238564351,</t>
  </si>
  <si>
    <t>1.207087062,</t>
  </si>
  <si>
    <t>1.127376863,</t>
  </si>
  <si>
    <t>0.928818455,</t>
  </si>
  <si>
    <t>1.065439565,</t>
  </si>
  <si>
    <t>1.084426998,</t>
  </si>
  <si>
    <t>1.002671496,</t>
  </si>
  <si>
    <t>0.9468346919,</t>
  </si>
  <si>
    <t>1.048652702,</t>
  </si>
  <si>
    <t>0.9765088555,</t>
  </si>
  <si>
    <t>0.8813267071,</t>
  </si>
  <si>
    <t>0.9142219725,</t>
  </si>
  <si>
    <t>0.936962369,</t>
  </si>
  <si>
    <t>1.02945182,</t>
  </si>
  <si>
    <t>0.7938452464,</t>
  </si>
  <si>
    <t>0.8280248969,</t>
  </si>
  <si>
    <t>1.1734409,</t>
  </si>
  <si>
    <t>1.227157265,</t>
  </si>
  <si>
    <t>1.094875198,</t>
  </si>
  <si>
    <t>1.074603147,</t>
  </si>
  <si>
    <t>1.145653588,</t>
  </si>
  <si>
    <t>0.9732260447,</t>
  </si>
  <si>
    <t>0.9683953042,</t>
  </si>
  <si>
    <t>0.956274921,</t>
  </si>
  <si>
    <t>1.088336337,</t>
  </si>
  <si>
    <t>1.040595808,</t>
  </si>
  <si>
    <t>1.106191047,</t>
  </si>
  <si>
    <t>0.9018015842,</t>
  </si>
  <si>
    <t>1.110426904,</t>
  </si>
  <si>
    <t>1.064507089,</t>
  </si>
  <si>
    <t>1.803533637,</t>
  </si>
  <si>
    <t>1.495165578,</t>
  </si>
  <si>
    <t>1.18100476,</t>
  </si>
  <si>
    <t>0.858934218,</t>
  </si>
  <si>
    <t>acrylic = (</t>
  </si>
  <si>
    <t>0.82483737,</t>
  </si>
  <si>
    <t>0.9511330905,</t>
  </si>
  <si>
    <t>0.9478648151,</t>
  </si>
  <si>
    <t>0.7181710075,</t>
  </si>
  <si>
    <t>0.6789101833,</t>
  </si>
  <si>
    <t>1.390464671,</t>
  </si>
  <si>
    <t>0.72004789,</t>
  </si>
  <si>
    <t>0.76357272,</t>
  </si>
  <si>
    <t>0.706830325,</t>
  </si>
  <si>
    <t>0.729357808,</t>
  </si>
  <si>
    <t>0.7745111339,</t>
  </si>
  <si>
    <t>0.969790061,</t>
  </si>
  <si>
    <t>1.128843535,</t>
  </si>
  <si>
    <t>1.037855973,</t>
  </si>
  <si>
    <t>0.7070192763,</t>
  </si>
  <si>
    <t>0.7157412862,</t>
  </si>
  <si>
    <t>0.9127304548,</t>
  </si>
  <si>
    <t>0.9801569032,</t>
  </si>
  <si>
    <t>0.8675244117,</t>
  </si>
  <si>
    <t>1.074897362,</t>
  </si>
  <si>
    <t>0.9176910204,</t>
  </si>
  <si>
    <t>0.7205485175,</t>
  </si>
  <si>
    <t>0.9599639196,</t>
  </si>
  <si>
    <t>0.9006794133,</t>
  </si>
  <si>
    <t>1.105868102,</t>
  </si>
  <si>
    <t>0.6981543221,</t>
  </si>
  <si>
    <t>0.7520148837,</t>
  </si>
  <si>
    <t>0.9668405456,</t>
  </si>
  <si>
    <t>0.7233920819,</t>
  </si>
  <si>
    <t>1.043626269,</t>
  </si>
  <si>
    <t>0.7675737622,</t>
  </si>
  <si>
    <t>0.6747166092,</t>
  </si>
  <si>
    <t>0.6826693048,</t>
  </si>
  <si>
    <t>0.722906372,</t>
  </si>
  <si>
    <t>1.061705111,</t>
  </si>
  <si>
    <t>0.9164378401,</t>
  </si>
  <si>
    <t>true_tile_mu = 0.69</t>
  </si>
  <si>
    <t>true_cardboard_mu = 1.02</t>
  </si>
  <si>
    <t>true_acrylic_mu = 0.84</t>
  </si>
  <si>
    <t>import numpy as np</t>
  </si>
  <si>
    <t>def mae(pred, true):</t>
  </si>
  <si>
    <t>return np.mean(np.abs(pred - true))</t>
  </si>
  <si>
    <t>def mre(pred, true):</t>
  </si>
  <si>
    <t>return np.mean(np.abs(pred - true) / abs(true))</t>
  </si>
  <si>
    <t>tile = np.array(tile)</t>
  </si>
  <si>
    <t>cardboard = np.array(cardboard)</t>
  </si>
  <si>
    <t>acrylic = np.array(acrylic)</t>
  </si>
  <si>
    <t>tile_mae = mae(tile, true_tile_mu)</t>
  </si>
  <si>
    <t>cardboard_mae = mae(cardboard, true_cardboard_mu)</t>
  </si>
  <si>
    <t>acrylic_mae = mae(acrylic, true_acrylic_mu)</t>
  </si>
  <si>
    <t>tile_mre = mre(tile, true_tile_mu)</t>
  </si>
  <si>
    <t>cardboard_mre = mre(cardboard, true_cardboard_mu)</t>
  </si>
  <si>
    <t>acrylic_mre = mre(acrylic, true_acrylic_mu)</t>
  </si>
  <si>
    <t>print("Tile MAE:", tile_mae)</t>
  </si>
  <si>
    <t>print("Tile MRE %:", tile_mre * 100)</t>
  </si>
  <si>
    <t>print("Cardboard MAE:", cardboard_mae)</t>
  </si>
  <si>
    <t>print("Cardboard MRE %:", cardboard_mre * 100)</t>
  </si>
  <si>
    <t>print("Acrylic MAE:", acrylic_mae)</t>
  </si>
  <si>
    <t>print("Acrylic MRE %:", acrylic_mre * 100)</t>
  </si>
  <si>
    <t>Mu Value From Folds</t>
  </si>
  <si>
    <r>
      <rPr/>
      <t xml:space="preserve">using </t>
    </r>
    <r>
      <rPr>
        <color rgb="FF1155CC"/>
        <u/>
      </rPr>
      <t>https://github.com/mpc-hc/mpc-hc</t>
    </r>
    <r>
      <rPr/>
      <t xml:space="preserve"> to open the videos and see the high-precision time</t>
    </r>
  </si>
  <si>
    <t>calling these FALSE POSITIVES</t>
  </si>
  <si>
    <t>Assam Track 3</t>
  </si>
  <si>
    <t>Bag1</t>
  </si>
  <si>
    <t>Bag2</t>
  </si>
  <si>
    <t>Bag3</t>
  </si>
  <si>
    <t>2 FALSE POSITVE</t>
  </si>
  <si>
    <t>Bag4</t>
  </si>
  <si>
    <t>Bag5</t>
  </si>
  <si>
    <t>Bag6</t>
  </si>
  <si>
    <t>FALSE POSITIVE</t>
  </si>
  <si>
    <t>Bag7</t>
  </si>
  <si>
    <t>Bag8</t>
  </si>
  <si>
    <t>Bag9</t>
  </si>
  <si>
    <t>Bag10</t>
  </si>
  <si>
    <t>Bag11</t>
  </si>
  <si>
    <t>Bag12</t>
  </si>
  <si>
    <t>Bag13</t>
  </si>
  <si>
    <t>Bag14</t>
  </si>
  <si>
    <t>FALSE POSITVE</t>
  </si>
  <si>
    <t>Bag15</t>
  </si>
  <si>
    <t>Bag16</t>
  </si>
  <si>
    <t>Bag17</t>
  </si>
  <si>
    <t>Bag18</t>
  </si>
  <si>
    <t>Bag19</t>
  </si>
  <si>
    <t>Bag20</t>
  </si>
  <si>
    <t>Fold</t>
  </si>
  <si>
    <t>Inconsistency</t>
  </si>
  <si>
    <t>3 surface, Assam, Track 1</t>
  </si>
  <si>
    <t>FOLD 1 TESTING SET</t>
  </si>
  <si>
    <t>FOLD 2 TESTING SET</t>
  </si>
  <si>
    <t>FOLD 3 TESTING SET</t>
  </si>
  <si>
    <t>FOLD 4 TESTING SET</t>
  </si>
  <si>
    <t>FOLD 5 TESTING SET</t>
  </si>
  <si>
    <t>.</t>
  </si>
  <si>
    <t>track 1: 9,19,20</t>
  </si>
  <si>
    <t>track 1: 2,7</t>
  </si>
  <si>
    <t>track 1: 6,11,17,18</t>
  </si>
  <si>
    <t>track 1: 5,8,12,13</t>
  </si>
  <si>
    <t>track 1: 1,3,4,10,14,15,16</t>
  </si>
  <si>
    <t>track 2: 6,9,10</t>
  </si>
  <si>
    <t>track 2: 2,7,11,13,16</t>
  </si>
  <si>
    <t>track 2: 3,5,8,14</t>
  </si>
  <si>
    <t>track 2: 1,4,12</t>
  </si>
  <si>
    <t>track 2: 15</t>
  </si>
  <si>
    <t>track 3: 5,7,11,16,20</t>
  </si>
  <si>
    <t>track 3: 6,8,13,15,18</t>
  </si>
  <si>
    <t>track 3: 3,10,17</t>
  </si>
  <si>
    <t>track 3: 1,4,12,14</t>
  </si>
  <si>
    <t>track 3: 2,9,19</t>
  </si>
  <si>
    <t>Fold 1 Best F1 Threshold: 0.5196</t>
  </si>
  <si>
    <t>Fold 2 Best F1 Threshold: 0.5823</t>
  </si>
  <si>
    <t>Fold 3 Best F1 Threshold: 0.3082</t>
  </si>
  <si>
    <t>Fold 4 Best F1 Threshold: 0.5899</t>
  </si>
  <si>
    <t>Fold 5 Best F1 Threshold: 0.5823</t>
  </si>
  <si>
    <t>Fold 1 Best F1 Epsilon:   3.4864</t>
  </si>
  <si>
    <t>Fold 2 Best F1 Epsilon:   3.2845</t>
  </si>
  <si>
    <t>Fold 3 Best F1 Epsilon:   4.3945</t>
  </si>
  <si>
    <t>Fold 4 Best F1 Epsilon:   3.2341</t>
  </si>
  <si>
    <t>Fold 5 Best F1 Epsilon:   3.2845</t>
  </si>
  <si>
    <t>- TP: 90</t>
  </si>
  <si>
    <t>- TP: 86</t>
  </si>
  <si>
    <t>- TP: 85</t>
  </si>
  <si>
    <t>- TP: 84</t>
  </si>
  <si>
    <t>- FP: 16</t>
  </si>
  <si>
    <t>- FP: 20</t>
  </si>
  <si>
    <t>- FP: 26</t>
  </si>
  <si>
    <t>- FP: 17</t>
  </si>
  <si>
    <t>- FP: 18</t>
  </si>
  <si>
    <t>- FN: 27</t>
  </si>
  <si>
    <t>- FN: 31</t>
  </si>
  <si>
    <t>- FN: 30</t>
  </si>
  <si>
    <t>- FN: 32</t>
  </si>
  <si>
    <t>extra 1</t>
  </si>
  <si>
    <t>- Precision: 0.849</t>
  </si>
  <si>
    <t>- Precision: 0.811</t>
  </si>
  <si>
    <t>- Precision: 0.766</t>
  </si>
  <si>
    <t>- Precision: 0.832</t>
  </si>
  <si>
    <t>- Precision: 0.824</t>
  </si>
  <si>
    <t>- Recall: 0.769</t>
  </si>
  <si>
    <t>- Recall: 0.735</t>
  </si>
  <si>
    <t>- Recall: 0.739</t>
  </si>
  <si>
    <t>- Recall: 0.724</t>
  </si>
  <si>
    <t>- Recall: 0.730</t>
  </si>
  <si>
    <t>- F1: 0.807</t>
  </si>
  <si>
    <t>- F1: 0.771</t>
  </si>
  <si>
    <t>- F1: 0.752</t>
  </si>
  <si>
    <t>- F1: 0.774</t>
  </si>
  <si>
    <t>python3 /workspace/src/drift_detector/drift_detector/drift_detector_node.py 0.5196 3.4864</t>
  </si>
  <si>
    <t>python3 /workspace/src/drift_detector/drift_detector/drift_detector_node.py 0.5823 3.2845</t>
  </si>
  <si>
    <t>python3 /workspace/src/drift_detector/drift_detector/drift_detector_node.py 0.3082 4.3945</t>
  </si>
  <si>
    <t>python3 /workspace/src/drift_detector/drift_detector/drift_detector_node.py 0.5899 3.2341</t>
  </si>
  <si>
    <t>3 surface, Assam, Track 2</t>
  </si>
  <si>
    <t>2 Surface Bags</t>
  </si>
  <si>
    <t>extra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</si>
</sst>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</font>
    <font/>
    <font>
      <color theme="1"/>
      <name val="Arial"/>
    </font>
    <font>
      <b/>
      <i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5">
    <border/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0" xfId="0" applyFont="1"/>
    <xf borderId="1" fillId="0" fontId="2" numFmtId="0" xfId="0" applyAlignment="1" applyBorder="1" applyFont="1">
      <alignment horizontal="center" readingOrder="0"/>
    </xf>
    <xf borderId="2" fillId="0" fontId="4" numFmtId="0" xfId="0" applyBorder="1" applyFont="1"/>
    <xf borderId="3" fillId="0" fontId="1" numFmtId="0" xfId="0" applyBorder="1" applyFont="1"/>
    <xf borderId="4" fillId="0" fontId="1" numFmtId="0" xfId="0" applyBorder="1" applyFont="1"/>
    <xf borderId="5" fillId="0" fontId="1" numFmtId="0" xfId="0" applyBorder="1" applyFont="1"/>
    <xf borderId="6" fillId="0" fontId="1" numFmtId="0" xfId="0" applyBorder="1" applyFont="1"/>
    <xf borderId="0" fillId="0" fontId="1" numFmtId="0" xfId="0" applyAlignment="1" applyFont="1">
      <alignment horizontal="left" readingOrder="0"/>
    </xf>
    <xf borderId="7" fillId="0" fontId="1" numFmtId="0" xfId="0" applyAlignment="1" applyBorder="1" applyFont="1">
      <alignment readingOrder="0"/>
    </xf>
    <xf borderId="8" fillId="0" fontId="1" numFmtId="0" xfId="0" applyBorder="1" applyFont="1"/>
    <xf borderId="9" fillId="0" fontId="2" numFmtId="0" xfId="0" applyAlignment="1" applyBorder="1" applyFont="1">
      <alignment horizontal="center" readingOrder="0"/>
    </xf>
    <xf borderId="10" fillId="0" fontId="4" numFmtId="0" xfId="0" applyBorder="1" applyFont="1"/>
    <xf borderId="11" fillId="0" fontId="4" numFmtId="0" xfId="0" applyBorder="1" applyFont="1"/>
    <xf borderId="12" fillId="0" fontId="2" numFmtId="0" xfId="0" applyAlignment="1" applyBorder="1" applyFont="1">
      <alignment horizontal="center" readingOrder="0"/>
    </xf>
    <xf borderId="12" fillId="0" fontId="1" numFmtId="0" xfId="0" applyBorder="1" applyFont="1"/>
    <xf borderId="12" fillId="0" fontId="2" numFmtId="0" xfId="0" applyBorder="1" applyFont="1"/>
    <xf borderId="13" fillId="0" fontId="2" numFmtId="0" xfId="0" applyAlignment="1" applyBorder="1" applyFont="1">
      <alignment horizontal="center" readingOrder="0"/>
    </xf>
    <xf borderId="14" fillId="0" fontId="4" numFmtId="0" xfId="0" applyBorder="1" applyFont="1"/>
    <xf borderId="0" fillId="0" fontId="5" numFmtId="0" xfId="0" applyAlignment="1" applyFont="1">
      <alignment horizontal="right" readingOrder="0" vertical="bottom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0" xfId="0" applyFont="1"/>
    <xf borderId="0" fillId="0" fontId="6" numFmtId="0" xfId="0" applyAlignment="1" applyFont="1">
      <alignment readingOrder="0"/>
    </xf>
    <xf borderId="0" fillId="0" fontId="1" numFmtId="164" xfId="0" applyFont="1" applyNumberFormat="1"/>
    <xf borderId="0" fillId="0" fontId="1" numFmtId="164" xfId="0" applyAlignment="1" applyFont="1" applyNumberFormat="1">
      <alignment readingOrder="0"/>
    </xf>
    <xf borderId="0" fillId="0" fontId="1" numFmtId="1" xfId="0" applyAlignment="1" applyFont="1" applyNumberFormat="1">
      <alignment readingOrder="0"/>
    </xf>
    <xf borderId="0" fillId="0" fontId="1" numFmtId="0" xfId="0" applyAlignment="1" applyFont="1">
      <alignment horizontal="center" readingOrder="0"/>
    </xf>
    <xf borderId="0" fillId="0" fontId="5" numFmtId="0" xfId="0" applyAlignment="1" applyFont="1">
      <alignment horizontal="center"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</cellXfs>
  <cellStyles count="1">
    <cellStyle xfId="0" name="Normal" builtinId="0"/>
  </cellStyles>
  <dxfs count="7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font/>
      <fill>
        <patternFill patternType="solid">
          <fgColor rgb="FFF9CB9C"/>
          <bgColor rgb="FFF9CB9C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>
        <color rgb="FF000000"/>
      </font>
      <fill>
        <patternFill patternType="solid">
          <fgColor rgb="FFCCCCCC"/>
          <bgColor rgb="FFCC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mpc-hc/mpc-hc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mpc-hc/mpc-hc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2" max="2" width="17.5"/>
    <col customWidth="1" min="3" max="3" width="16.13"/>
    <col customWidth="1" min="4" max="4" width="17.75"/>
    <col customWidth="1" min="5" max="5" width="13.63"/>
  </cols>
  <sheetData>
    <row r="1">
      <c r="A1" s="1" t="s">
        <v>0</v>
      </c>
      <c r="K1" s="1" t="s">
        <v>1</v>
      </c>
    </row>
    <row r="2">
      <c r="A2" s="2" t="s">
        <v>2</v>
      </c>
      <c r="B2" s="2" t="s">
        <v>3</v>
      </c>
      <c r="C2" s="2" t="s">
        <v>4</v>
      </c>
      <c r="D2" s="2" t="s">
        <v>5</v>
      </c>
      <c r="E2" s="1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3" t="s">
        <v>12</v>
      </c>
    </row>
    <row r="3">
      <c r="A3" s="1" t="s">
        <v>13</v>
      </c>
      <c r="B3" s="1">
        <v>0.871</v>
      </c>
      <c r="C3" s="1">
        <v>1.770685225E9</v>
      </c>
      <c r="D3" s="1">
        <v>2.03076875E8</v>
      </c>
      <c r="E3" s="4">
        <f>(C3+(D3/1000000000) - B3)</f>
        <v>1770685224</v>
      </c>
      <c r="F3" s="1" t="s">
        <v>14</v>
      </c>
      <c r="G3" s="1">
        <v>3.797</v>
      </c>
      <c r="H3" s="1">
        <v>1.77068522925567E9</v>
      </c>
      <c r="I3" s="4">
        <f t="shared" ref="I3:I5" si="1">(H3-$E$3)-G3</f>
        <v>1.126593283</v>
      </c>
      <c r="J3" s="1">
        <v>0.8415899703</v>
      </c>
    </row>
    <row r="4">
      <c r="F4" s="1" t="s">
        <v>15</v>
      </c>
      <c r="G4" s="1">
        <v>7.043</v>
      </c>
      <c r="H4" s="1">
        <v>1.77068523261237E9</v>
      </c>
      <c r="I4" s="4">
        <f t="shared" si="1"/>
        <v>1.237293226</v>
      </c>
      <c r="J4" s="1">
        <v>0.9127304548</v>
      </c>
      <c r="M4" s="5" t="s">
        <v>16</v>
      </c>
      <c r="N4" s="6"/>
    </row>
    <row r="5">
      <c r="F5" s="1" t="s">
        <v>17</v>
      </c>
      <c r="G5" s="1">
        <v>10.368</v>
      </c>
      <c r="H5" s="1">
        <v>1.77068523551588E9</v>
      </c>
      <c r="I5" s="4">
        <f t="shared" si="1"/>
        <v>0.8158033199</v>
      </c>
      <c r="J5" s="1">
        <v>0.6960932134</v>
      </c>
      <c r="M5" s="7" t="str">
        <f t="array" ref="M5:M8">UNIQUE(F3:F1000)</f>
        <v>Cardboard</v>
      </c>
      <c r="N5" s="8">
        <f t="shared" ref="N5:N7" si="2">AVERAGEIF($F$3:$F1000, M5, $J$3:$J1000)</f>
        <v>1.039649397</v>
      </c>
    </row>
    <row r="6">
      <c r="A6" s="1" t="s">
        <v>18</v>
      </c>
      <c r="B6" s="1">
        <v>0.01</v>
      </c>
      <c r="C6" s="1">
        <v>1.770685252E9</v>
      </c>
      <c r="D6" s="1">
        <v>4.7954463E7</v>
      </c>
      <c r="E6" s="4">
        <f>(C6+(D6/1000000000) - B6)</f>
        <v>1770685252</v>
      </c>
      <c r="F6" s="1" t="s">
        <v>14</v>
      </c>
      <c r="G6" s="1">
        <v>2.518</v>
      </c>
      <c r="H6" s="1">
        <v>1.77068525485617E9</v>
      </c>
      <c r="I6" s="4">
        <f t="shared" ref="I6:I8" si="3">(H6-$E$6)-G6</f>
        <v>0.3002153702</v>
      </c>
      <c r="J6" s="1">
        <v>1.1257118388</v>
      </c>
      <c r="M6" s="9" t="s">
        <v>15</v>
      </c>
      <c r="N6" s="10">
        <f t="shared" si="2"/>
        <v>0.8725048603</v>
      </c>
    </row>
    <row r="7">
      <c r="F7" s="1" t="s">
        <v>15</v>
      </c>
      <c r="G7" s="1">
        <v>5.561</v>
      </c>
      <c r="H7" s="1">
        <v>1.77068525799621E9</v>
      </c>
      <c r="I7" s="4">
        <f t="shared" si="3"/>
        <v>0.3972555294</v>
      </c>
      <c r="J7" s="1">
        <v>0.9801569032</v>
      </c>
      <c r="L7" s="11"/>
      <c r="M7" s="9" t="s">
        <v>17</v>
      </c>
      <c r="N7" s="10">
        <f t="shared" si="2"/>
        <v>0.690971319</v>
      </c>
    </row>
    <row r="8">
      <c r="F8" s="1" t="s">
        <v>17</v>
      </c>
      <c r="G8" s="1">
        <v>10.3</v>
      </c>
      <c r="H8" s="1">
        <v>1.77068526243618E9</v>
      </c>
      <c r="I8" s="4">
        <f t="shared" si="3"/>
        <v>0.09822554588</v>
      </c>
      <c r="J8" s="1">
        <v>0.711716796</v>
      </c>
      <c r="L8" s="11"/>
      <c r="M8" s="9"/>
      <c r="N8" s="10"/>
    </row>
    <row r="9">
      <c r="A9" s="1" t="s">
        <v>19</v>
      </c>
      <c r="B9" s="1">
        <v>0.01</v>
      </c>
      <c r="C9" s="1">
        <v>1.770685276E9</v>
      </c>
      <c r="D9" s="1">
        <v>1.03463964E8</v>
      </c>
      <c r="E9" s="4">
        <f>(C9+(D9/1000000000) - B9)</f>
        <v>1770685276</v>
      </c>
      <c r="F9" s="1" t="s">
        <v>14</v>
      </c>
      <c r="G9" s="1">
        <v>1.962</v>
      </c>
      <c r="H9" s="1">
        <v>1.77068527803681E9</v>
      </c>
      <c r="I9" s="4">
        <f t="shared" ref="I9:I11" si="4">(H9-$E$9)-G9</f>
        <v>-0.01865397644</v>
      </c>
      <c r="J9" s="1">
        <v>1.1714725596</v>
      </c>
      <c r="L9" s="11"/>
      <c r="M9" s="12" t="s">
        <v>20</v>
      </c>
      <c r="N9" s="13">
        <f>average(I3:I62)</f>
        <v>0.3726536392</v>
      </c>
    </row>
    <row r="10">
      <c r="F10" s="1" t="s">
        <v>15</v>
      </c>
      <c r="G10" s="1">
        <v>4.072</v>
      </c>
      <c r="H10" s="1">
        <v>1.77068528049645E9</v>
      </c>
      <c r="I10" s="4">
        <f t="shared" si="4"/>
        <v>0.3309860497</v>
      </c>
      <c r="J10" s="1">
        <v>0.8675244117</v>
      </c>
    </row>
    <row r="11">
      <c r="F11" s="1" t="s">
        <v>17</v>
      </c>
      <c r="G11" s="1">
        <v>7.72</v>
      </c>
      <c r="H11" s="1">
        <v>1.7706852832317E9</v>
      </c>
      <c r="I11" s="4">
        <f t="shared" si="4"/>
        <v>-0.5817639542</v>
      </c>
      <c r="J11" s="1">
        <v>0.7205852602</v>
      </c>
      <c r="M11" s="1" t="s">
        <v>21</v>
      </c>
    </row>
    <row r="12">
      <c r="A12" s="1" t="s">
        <v>22</v>
      </c>
      <c r="B12" s="1">
        <v>0.865</v>
      </c>
      <c r="C12" s="1">
        <v>1.770685298E9</v>
      </c>
      <c r="D12" s="1">
        <v>2.14485609E8</v>
      </c>
      <c r="E12" s="4">
        <f>(C12+(D12/1000000000) - B12)</f>
        <v>1770685297</v>
      </c>
      <c r="F12" s="1" t="s">
        <v>14</v>
      </c>
      <c r="G12" s="1">
        <v>2.43</v>
      </c>
      <c r="H12" s="1">
        <v>1.77068530003416E9</v>
      </c>
      <c r="I12" s="4">
        <f t="shared" ref="I12:I14" si="5">(H12-$E$12)-G12</f>
        <v>0.254674263</v>
      </c>
      <c r="J12" s="1">
        <v>0.9486374599</v>
      </c>
      <c r="L12" s="1" t="s">
        <v>23</v>
      </c>
      <c r="M12" s="4">
        <f>averageif($F$3:$F$62,$F$3,$I3:I$62)</f>
        <v>0.3965004719</v>
      </c>
    </row>
    <row r="13">
      <c r="F13" s="1" t="s">
        <v>15</v>
      </c>
      <c r="G13" s="1">
        <v>5.199</v>
      </c>
      <c r="H13" s="1">
        <v>1.77068530251681E9</v>
      </c>
      <c r="I13" s="4">
        <f t="shared" si="5"/>
        <v>-0.03167569542</v>
      </c>
      <c r="J13" s="1">
        <v>1.0748973615</v>
      </c>
    </row>
    <row r="14">
      <c r="F14" s="1" t="s">
        <v>17</v>
      </c>
      <c r="G14" s="1">
        <v>8.733</v>
      </c>
      <c r="H14" s="1">
        <v>1.77068530609197E9</v>
      </c>
      <c r="I14" s="4">
        <f t="shared" si="5"/>
        <v>0.009484331131</v>
      </c>
      <c r="J14" s="1">
        <v>0.7014588838</v>
      </c>
      <c r="M14" s="14" t="s">
        <v>24</v>
      </c>
      <c r="N14" s="15"/>
      <c r="O14" s="16"/>
      <c r="Q14" s="1" t="s">
        <v>25</v>
      </c>
    </row>
    <row r="15">
      <c r="A15" s="1" t="s">
        <v>26</v>
      </c>
      <c r="B15" s="1">
        <v>-1.02</v>
      </c>
      <c r="C15" s="1">
        <v>1.770685322E9</v>
      </c>
      <c r="D15" s="1">
        <v>9.6266618E8</v>
      </c>
      <c r="E15" s="4">
        <f>(C15+(D15/1000000000) - B15)</f>
        <v>1770685324</v>
      </c>
      <c r="F15" s="1" t="s">
        <v>14</v>
      </c>
      <c r="G15" s="1">
        <v>1.299</v>
      </c>
      <c r="H15" s="1">
        <v>1.7706853249523E9</v>
      </c>
      <c r="I15" s="4">
        <f t="shared" ref="I15:I17" si="6">(H15-$E$15)-G15</f>
        <v>-0.3293661823</v>
      </c>
      <c r="J15" s="1">
        <v>1.0939337648</v>
      </c>
      <c r="M15" s="17" t="s">
        <v>27</v>
      </c>
      <c r="N15" s="17" t="s">
        <v>28</v>
      </c>
      <c r="O15" s="17" t="s">
        <v>29</v>
      </c>
      <c r="Q15" s="1" t="s">
        <v>17</v>
      </c>
      <c r="R15" s="1" t="s">
        <v>14</v>
      </c>
      <c r="S15" s="1" t="s">
        <v>15</v>
      </c>
    </row>
    <row r="16">
      <c r="F16" s="1" t="s">
        <v>15</v>
      </c>
      <c r="G16" s="1">
        <v>4.168</v>
      </c>
      <c r="H16" s="1">
        <v>1.77068532815744E9</v>
      </c>
      <c r="I16" s="4">
        <f t="shared" si="6"/>
        <v>0.006773693085</v>
      </c>
      <c r="J16" s="1">
        <v>0.9176910204</v>
      </c>
      <c r="L16" s="2" t="s">
        <v>30</v>
      </c>
      <c r="M16" s="18">
        <f t="shared" ref="M16:O16" si="7">abs(Q16)</f>
        <v>0.8158033199</v>
      </c>
      <c r="N16" s="18">
        <f t="shared" si="7"/>
        <v>1.126593283</v>
      </c>
      <c r="O16" s="18">
        <f t="shared" si="7"/>
        <v>1.237293226</v>
      </c>
      <c r="P16" s="1" t="s">
        <v>31</v>
      </c>
      <c r="Q16" s="1">
        <f>IFERROR(__xludf.DUMMYFUNCTION("FILTER(I:I, F:F=""Tile"", I:I)"),0.81580331993103)</f>
        <v>0.8158033199</v>
      </c>
      <c r="R16" s="4">
        <f>IFERROR(__xludf.DUMMYFUNCTION("FILTER(I:I, F:F=""Cardboard"")"),1.1265932826995848)</f>
        <v>1.126593283</v>
      </c>
      <c r="S16" s="4">
        <f>IFERROR(__xludf.DUMMYFUNCTION("FILTER(I:I, F:F=""Acrylic"")"),1.2372932262420653)</f>
        <v>1.237293226</v>
      </c>
    </row>
    <row r="17">
      <c r="F17" s="1" t="s">
        <v>17</v>
      </c>
      <c r="G17" s="1">
        <v>8.346</v>
      </c>
      <c r="H17" s="1">
        <v>1.77068533195232E9</v>
      </c>
      <c r="I17" s="4">
        <f t="shared" si="6"/>
        <v>-0.3763461552</v>
      </c>
      <c r="J17" s="1">
        <v>0.7630843658</v>
      </c>
      <c r="M17" s="18">
        <f t="shared" ref="M17:O17" si="8">abs(Q17)</f>
        <v>0.09822554588</v>
      </c>
      <c r="N17" s="18">
        <f t="shared" si="8"/>
        <v>0.3002153702</v>
      </c>
      <c r="O17" s="18">
        <f t="shared" si="8"/>
        <v>0.3972555294</v>
      </c>
      <c r="Q17" s="1">
        <f>IFERROR(__xludf.DUMMYFUNCTION("""COMPUTED_VALUE"""),0.098225545883178)</f>
        <v>0.09822554588</v>
      </c>
      <c r="R17" s="4">
        <f>IFERROR(__xludf.DUMMYFUNCTION("""COMPUTED_VALUE"""),0.30021537017822286)</f>
        <v>0.3002153702</v>
      </c>
      <c r="S17" s="4">
        <f>IFERROR(__xludf.DUMMYFUNCTION("""COMPUTED_VALUE"""),0.3972555294036866)</f>
        <v>0.3972555294</v>
      </c>
    </row>
    <row r="18">
      <c r="A18" s="1" t="s">
        <v>32</v>
      </c>
      <c r="B18" s="1">
        <v>0.127</v>
      </c>
      <c r="C18" s="1">
        <v>1.770685345E9</v>
      </c>
      <c r="D18" s="1">
        <v>7.95551213E8</v>
      </c>
      <c r="E18" s="4">
        <f>(C18+(D18/1000000000) - B18)</f>
        <v>1770685346</v>
      </c>
      <c r="F18" s="1" t="s">
        <v>14</v>
      </c>
      <c r="G18" s="1">
        <v>1.711</v>
      </c>
      <c r="H18" s="1">
        <v>1.7706853476788E9</v>
      </c>
      <c r="I18" s="4">
        <f t="shared" ref="I18:I20" si="10">(H18-$E$18)-G18</f>
        <v>0.2992488995</v>
      </c>
      <c r="J18" s="1">
        <v>1.2232984343</v>
      </c>
      <c r="M18" s="18">
        <f t="shared" ref="M18:O18" si="9">abs(Q18)</f>
        <v>0.5817639542</v>
      </c>
      <c r="N18" s="18">
        <f t="shared" si="9"/>
        <v>0.01865397644</v>
      </c>
      <c r="O18" s="18">
        <f t="shared" si="9"/>
        <v>0.3309860497</v>
      </c>
      <c r="Q18" s="1">
        <f>IFERROR(__xludf.DUMMYFUNCTION("""COMPUTED_VALUE"""),-0.5817639541625974)</f>
        <v>-0.5817639542</v>
      </c>
      <c r="R18" s="4">
        <f>IFERROR(__xludf.DUMMYFUNCTION("""COMPUTED_VALUE"""),-0.018653976440429654)</f>
        <v>-0.01865397644</v>
      </c>
      <c r="S18" s="4">
        <f>IFERROR(__xludf.DUMMYFUNCTION("""COMPUTED_VALUE"""),0.33098604965209955)</f>
        <v>0.3309860497</v>
      </c>
    </row>
    <row r="19">
      <c r="F19" s="1" t="s">
        <v>15</v>
      </c>
      <c r="G19" s="1">
        <v>4.796</v>
      </c>
      <c r="H19" s="1">
        <v>1.77068535077796E9</v>
      </c>
      <c r="I19" s="4">
        <f t="shared" si="10"/>
        <v>0.3134088554</v>
      </c>
      <c r="J19" s="1">
        <v>0.7205485175</v>
      </c>
      <c r="M19" s="18">
        <f t="shared" ref="M19:O19" si="11">abs(Q19)</f>
        <v>0.009484331131</v>
      </c>
      <c r="N19" s="18">
        <f t="shared" si="11"/>
        <v>0.254674263</v>
      </c>
      <c r="O19" s="18">
        <f t="shared" si="11"/>
        <v>0.03167569542</v>
      </c>
      <c r="Q19" s="1">
        <f>IFERROR(__xludf.DUMMYFUNCTION("""COMPUTED_VALUE"""),0.009484331130980905)</f>
        <v>0.009484331131</v>
      </c>
      <c r="R19" s="4">
        <f>IFERROR(__xludf.DUMMYFUNCTION("""COMPUTED_VALUE"""),0.2546742630004881)</f>
        <v>0.254674263</v>
      </c>
      <c r="S19" s="4">
        <f>IFERROR(__xludf.DUMMYFUNCTION("""COMPUTED_VALUE"""),-0.03167569541931137)</f>
        <v>-0.03167569542</v>
      </c>
    </row>
    <row r="20">
      <c r="F20" s="1" t="s">
        <v>17</v>
      </c>
      <c r="G20" s="1">
        <v>8.679</v>
      </c>
      <c r="H20" s="1">
        <v>1.77068535437281E9</v>
      </c>
      <c r="I20" s="4">
        <f t="shared" si="10"/>
        <v>0.02525868034</v>
      </c>
      <c r="J20" s="1">
        <v>0.65954879</v>
      </c>
      <c r="M20" s="18">
        <f t="shared" ref="M20:O20" si="12">abs(Q20)</f>
        <v>0.3763461552</v>
      </c>
      <c r="N20" s="18">
        <f t="shared" si="12"/>
        <v>0.3293661823</v>
      </c>
      <c r="O20" s="18">
        <f t="shared" si="12"/>
        <v>0.006773693085</v>
      </c>
      <c r="Q20" s="1">
        <f>IFERROR(__xludf.DUMMYFUNCTION("""COMPUTED_VALUE"""),-0.37634615516662606)</f>
        <v>-0.3763461552</v>
      </c>
      <c r="R20" s="4">
        <f>IFERROR(__xludf.DUMMYFUNCTION("""COMPUTED_VALUE"""),-0.32936618232727044)</f>
        <v>-0.3293661823</v>
      </c>
      <c r="S20" s="4">
        <f>IFERROR(__xludf.DUMMYFUNCTION("""COMPUTED_VALUE"""),0.006773693084716648)</f>
        <v>0.006773693085</v>
      </c>
    </row>
    <row r="21">
      <c r="A21" s="1" t="s">
        <v>33</v>
      </c>
      <c r="B21" s="1">
        <v>0.001</v>
      </c>
      <c r="C21" s="1">
        <v>1.770685368E9</v>
      </c>
      <c r="D21" s="1">
        <v>2.83913669E8</v>
      </c>
      <c r="E21" s="4">
        <f>(C21+(D21/1000000000) - B21)</f>
        <v>1770685368</v>
      </c>
      <c r="F21" s="1" t="s">
        <v>14</v>
      </c>
      <c r="G21" s="1">
        <v>1.304</v>
      </c>
      <c r="H21" s="1">
        <v>1.77068536989273E9</v>
      </c>
      <c r="I21" s="4">
        <f t="shared" ref="I21:I23" si="14">(H21-$E$21)-G21</f>
        <v>0.3058163128</v>
      </c>
      <c r="J21" s="1">
        <v>1.2385643507</v>
      </c>
      <c r="M21" s="18">
        <f t="shared" ref="M21:O21" si="13">abs(Q21)</f>
        <v>0.02525868034</v>
      </c>
      <c r="N21" s="18">
        <f t="shared" si="13"/>
        <v>0.2992488995</v>
      </c>
      <c r="O21" s="18">
        <f t="shared" si="13"/>
        <v>0.3134088554</v>
      </c>
      <c r="Q21" s="1">
        <f>IFERROR(__xludf.DUMMYFUNCTION("""COMPUTED_VALUE"""),0.02525868034362766)</f>
        <v>0.02525868034</v>
      </c>
      <c r="R21" s="4">
        <f>IFERROR(__xludf.DUMMYFUNCTION("""COMPUTED_VALUE"""),0.2992488994598388)</f>
        <v>0.2992488995</v>
      </c>
      <c r="S21" s="4">
        <f>IFERROR(__xludf.DUMMYFUNCTION("""COMPUTED_VALUE"""),0.31340885543823216)</f>
        <v>0.3134088554</v>
      </c>
    </row>
    <row r="22">
      <c r="F22" s="1" t="s">
        <v>15</v>
      </c>
      <c r="G22" s="1">
        <v>4.665</v>
      </c>
      <c r="H22" s="1">
        <v>1.77068537333746E9</v>
      </c>
      <c r="I22" s="4">
        <f t="shared" si="14"/>
        <v>0.3895463562</v>
      </c>
      <c r="J22" s="1">
        <v>0.9599639196</v>
      </c>
      <c r="M22" s="18">
        <f t="shared" ref="M22:O22" si="15">abs(Q22)</f>
        <v>0.4322462387</v>
      </c>
      <c r="N22" s="18">
        <f t="shared" si="15"/>
        <v>0.3058163128</v>
      </c>
      <c r="O22" s="18">
        <f t="shared" si="15"/>
        <v>0.3895463562</v>
      </c>
      <c r="Q22" s="1">
        <f>IFERROR(__xludf.DUMMYFUNCTION("""COMPUTED_VALUE"""),0.43224623870849577)</f>
        <v>0.4322462387</v>
      </c>
      <c r="R22" s="4">
        <f>IFERROR(__xludf.DUMMYFUNCTION("""COMPUTED_VALUE"""),0.30581631278991694)</f>
        <v>0.3058163128</v>
      </c>
      <c r="S22" s="4">
        <f>IFERROR(__xludf.DUMMYFUNCTION("""COMPUTED_VALUE"""),0.38954635620117184)</f>
        <v>0.3895463562</v>
      </c>
    </row>
    <row r="23">
      <c r="F23" s="1" t="s">
        <v>17</v>
      </c>
      <c r="G23" s="1">
        <v>7.743</v>
      </c>
      <c r="H23" s="1">
        <v>1.77068537645816E9</v>
      </c>
      <c r="I23" s="4">
        <f t="shared" si="14"/>
        <v>0.4322462387</v>
      </c>
      <c r="J23" s="1">
        <v>0.6950948899</v>
      </c>
      <c r="M23" s="18">
        <f t="shared" ref="M23:O23" si="16">abs(Q23)</f>
        <v>0.1170997467</v>
      </c>
      <c r="N23" s="18">
        <f t="shared" si="16"/>
        <v>0.1850599213</v>
      </c>
      <c r="O23" s="18">
        <f t="shared" si="16"/>
        <v>0.1819001102</v>
      </c>
      <c r="Q23" s="1">
        <f>IFERROR(__xludf.DUMMYFUNCTION("""COMPUTED_VALUE"""),0.11709974670410084)</f>
        <v>0.1170997467</v>
      </c>
      <c r="R23" s="4">
        <f>IFERROR(__xludf.DUMMYFUNCTION("""COMPUTED_VALUE"""),0.18505992126464843)</f>
        <v>0.1850599213</v>
      </c>
      <c r="S23" s="4">
        <f>IFERROR(__xludf.DUMMYFUNCTION("""COMPUTED_VALUE"""),-0.18190011024475083)</f>
        <v>-0.1819001102</v>
      </c>
    </row>
    <row r="24">
      <c r="A24" s="1" t="s">
        <v>34</v>
      </c>
      <c r="B24" s="1">
        <v>0.598</v>
      </c>
      <c r="C24" s="1">
        <v>1.770685416E9</v>
      </c>
      <c r="D24" s="1">
        <v>6.32880254E8</v>
      </c>
      <c r="E24" s="4">
        <f>(C24+(D24/1000000000) - B24)</f>
        <v>1770685416</v>
      </c>
      <c r="F24" s="1" t="s">
        <v>14</v>
      </c>
      <c r="G24" s="1">
        <v>2.633</v>
      </c>
      <c r="H24" s="1">
        <v>1.77068541885294E9</v>
      </c>
      <c r="I24" s="4">
        <f t="shared" ref="I24:I26" si="18">(H24-$E$24)-G24</f>
        <v>0.1850599213</v>
      </c>
      <c r="J24" s="1">
        <v>1.207087062</v>
      </c>
      <c r="M24" s="18">
        <f t="shared" ref="M24:O24" si="17">abs(Q24)</f>
        <v>1.203124355</v>
      </c>
      <c r="N24" s="18">
        <f t="shared" si="17"/>
        <v>1.202534512</v>
      </c>
      <c r="O24" s="18">
        <f t="shared" si="17"/>
        <v>1.375194422</v>
      </c>
      <c r="Q24" s="1">
        <f>IFERROR(__xludf.DUMMYFUNCTION("""COMPUTED_VALUE"""),1.2031243553161621)</f>
        <v>1.203124355</v>
      </c>
      <c r="R24" s="4">
        <f>IFERROR(__xludf.DUMMYFUNCTION("""COMPUTED_VALUE"""),1.202534511566162)</f>
        <v>1.202534512</v>
      </c>
      <c r="S24" s="4">
        <f>IFERROR(__xludf.DUMMYFUNCTION("""COMPUTED_VALUE"""),1.3751944217681888)</f>
        <v>1.375194422</v>
      </c>
    </row>
    <row r="25">
      <c r="F25" s="1" t="s">
        <v>15</v>
      </c>
      <c r="G25" s="1">
        <v>5.965</v>
      </c>
      <c r="H25" s="1">
        <v>1.77068542181798E9</v>
      </c>
      <c r="I25" s="4">
        <f t="shared" si="18"/>
        <v>-0.1819001102</v>
      </c>
      <c r="J25" s="1">
        <v>0.9006794133</v>
      </c>
      <c r="M25" s="18">
        <f t="shared" ref="M25:O25" si="19">abs(Q25)</f>
        <v>0.3840364857</v>
      </c>
      <c r="N25" s="18">
        <f t="shared" si="19"/>
        <v>0.3897963123</v>
      </c>
      <c r="O25" s="18">
        <f t="shared" si="19"/>
        <v>0.6338963528</v>
      </c>
      <c r="Q25" s="1">
        <f>IFERROR(__xludf.DUMMYFUNCTION("""COMPUTED_VALUE"""),0.3840364856719969)</f>
        <v>0.3840364857</v>
      </c>
      <c r="R25" s="4">
        <f>IFERROR(__xludf.DUMMYFUNCTION("""COMPUTED_VALUE"""),0.3897963123321535)</f>
        <v>0.3897963123</v>
      </c>
      <c r="S25" s="4">
        <f>IFERROR(__xludf.DUMMYFUNCTION("""COMPUTED_VALUE"""),0.6338963527679446)</f>
        <v>0.6338963528</v>
      </c>
    </row>
    <row r="26">
      <c r="F26" s="1" t="s">
        <v>17</v>
      </c>
      <c r="G26" s="1">
        <v>8.566</v>
      </c>
      <c r="H26" s="1">
        <v>1.77068542471798E9</v>
      </c>
      <c r="I26" s="4">
        <f t="shared" si="18"/>
        <v>0.1170997467</v>
      </c>
      <c r="J26" s="1">
        <v>0.6912420848</v>
      </c>
      <c r="M26" s="18">
        <f t="shared" ref="M26:O26" si="20">abs(Q26)</f>
        <v>1.780842079</v>
      </c>
      <c r="N26" s="18">
        <f t="shared" si="20"/>
        <v>1.733362114</v>
      </c>
      <c r="O26" s="18">
        <f t="shared" si="20"/>
        <v>2.029212196</v>
      </c>
      <c r="Q26" s="1">
        <f>IFERROR(__xludf.DUMMYFUNCTION("""COMPUTED_VALUE"""),1.780842079162598)</f>
        <v>1.780842079</v>
      </c>
      <c r="R26" s="4">
        <f>IFERROR(__xludf.DUMMYFUNCTION("""COMPUTED_VALUE"""),1.7333621139526367)</f>
        <v>1.733362114</v>
      </c>
      <c r="S26" s="4">
        <f>IFERROR(__xludf.DUMMYFUNCTION("""COMPUTED_VALUE"""),2.0292121963500973)</f>
        <v>2.029212196</v>
      </c>
    </row>
    <row r="27">
      <c r="A27" s="1" t="s">
        <v>35</v>
      </c>
      <c r="B27" s="1">
        <v>0.001</v>
      </c>
      <c r="C27" s="1">
        <v>1.770685436E9</v>
      </c>
      <c r="D27" s="1">
        <v>7.34885476E8</v>
      </c>
      <c r="E27" s="4">
        <f>(C27+(D27/1000000000) - B27)</f>
        <v>1770685437</v>
      </c>
      <c r="F27" s="1" t="s">
        <v>14</v>
      </c>
      <c r="G27" s="1">
        <v>1.897</v>
      </c>
      <c r="H27" s="1">
        <v>1.77068543983342E9</v>
      </c>
      <c r="I27" s="4">
        <f t="shared" ref="I27:I29" si="22">(H27-$E$27)-G27</f>
        <v>1.202534512</v>
      </c>
      <c r="J27" s="1">
        <v>1.12737686318637</v>
      </c>
      <c r="M27" s="18">
        <f t="shared" ref="M27:O27" si="21">abs(Q27)</f>
        <v>0.2560847454</v>
      </c>
      <c r="N27" s="18">
        <f t="shared" si="21"/>
        <v>0.1401346626</v>
      </c>
      <c r="O27" s="18">
        <f t="shared" si="21"/>
        <v>0.1319148483</v>
      </c>
      <c r="Q27" s="1">
        <f>IFERROR(__xludf.DUMMYFUNCTION("""COMPUTED_VALUE"""),0.25608474540710446)</f>
        <v>0.2560847454</v>
      </c>
      <c r="R27" s="4">
        <f>IFERROR(__xludf.DUMMYFUNCTION("""COMPUTED_VALUE"""),0.14013466262817387)</f>
        <v>0.1401346626</v>
      </c>
      <c r="S27" s="4">
        <f>IFERROR(__xludf.DUMMYFUNCTION("""COMPUTED_VALUE"""),0.13191484832763667)</f>
        <v>0.1319148483</v>
      </c>
    </row>
    <row r="28">
      <c r="F28" s="1" t="s">
        <v>15</v>
      </c>
      <c r="G28" s="1">
        <v>4.209</v>
      </c>
      <c r="H28" s="1">
        <v>1.77068544231808E9</v>
      </c>
      <c r="I28" s="4">
        <f t="shared" si="22"/>
        <v>1.375194422</v>
      </c>
      <c r="J28" s="1">
        <v>1.10586810208812</v>
      </c>
      <c r="M28" s="18">
        <f t="shared" ref="M28:O28" si="23">abs(Q28)</f>
        <v>0.09924028778</v>
      </c>
      <c r="N28" s="18">
        <f t="shared" si="23"/>
        <v>0.1162304363</v>
      </c>
      <c r="O28" s="18">
        <f t="shared" si="23"/>
        <v>0.09943042183</v>
      </c>
      <c r="Q28" s="1">
        <f>IFERROR(__xludf.DUMMYFUNCTION("""COMPUTED_VALUE"""),0.099240287780761)</f>
        <v>0.09924028778</v>
      </c>
      <c r="R28" s="4">
        <f>IFERROR(__xludf.DUMMYFUNCTION("""COMPUTED_VALUE"""),0.11623043632507324)</f>
        <v>0.1162304363</v>
      </c>
      <c r="S28" s="4">
        <f>IFERROR(__xludf.DUMMYFUNCTION("""COMPUTED_VALUE"""),0.0994304218292239)</f>
        <v>0.09943042183</v>
      </c>
    </row>
    <row r="29">
      <c r="F29" s="1" t="s">
        <v>17</v>
      </c>
      <c r="G29" s="1">
        <v>7.601</v>
      </c>
      <c r="H29" s="1">
        <v>1.77068544553801E9</v>
      </c>
      <c r="I29" s="4">
        <f t="shared" si="22"/>
        <v>1.203124355</v>
      </c>
      <c r="J29" s="1">
        <v>0.750480501517266</v>
      </c>
      <c r="M29" s="18">
        <f t="shared" ref="M29:O29" si="24">abs(Q29)</f>
        <v>0.3107871304</v>
      </c>
      <c r="N29" s="18">
        <f t="shared" si="24"/>
        <v>0.469777132</v>
      </c>
      <c r="O29" s="18">
        <f t="shared" si="24"/>
        <v>0.7058671017</v>
      </c>
      <c r="Q29" s="1">
        <f>IFERROR(__xludf.DUMMYFUNCTION("""COMPUTED_VALUE"""),0.31078713035583494)</f>
        <v>0.3107871304</v>
      </c>
      <c r="R29" s="4">
        <f>IFERROR(__xludf.DUMMYFUNCTION("""COMPUTED_VALUE"""),0.4697771320343018)</f>
        <v>0.469777132</v>
      </c>
      <c r="S29" s="4">
        <f>IFERROR(__xludf.DUMMYFUNCTION("""COMPUTED_VALUE"""),0.7058671016693117)</f>
        <v>0.7058671017</v>
      </c>
    </row>
    <row r="30">
      <c r="A30" s="1" t="s">
        <v>36</v>
      </c>
      <c r="B30" s="1">
        <v>0.001</v>
      </c>
      <c r="C30" s="1">
        <v>1.770685458E9</v>
      </c>
      <c r="D30" s="1">
        <v>2.22413463E8</v>
      </c>
      <c r="E30" s="4">
        <f>(C30+(D30/1000000000) - B30)</f>
        <v>1770685458</v>
      </c>
      <c r="F30" s="1" t="s">
        <v>14</v>
      </c>
      <c r="G30" s="1">
        <v>2.167</v>
      </c>
      <c r="H30" s="1">
        <v>1.77068546077821E9</v>
      </c>
      <c r="I30" s="4">
        <f t="shared" ref="I30:I32" si="26">(H30-$E$30)-G30</f>
        <v>0.3897963123</v>
      </c>
      <c r="J30" s="1">
        <v>0.928818455</v>
      </c>
      <c r="M30" s="18">
        <f t="shared" ref="M30:O30" si="25">abs(Q30)</f>
        <v>0.1610378952</v>
      </c>
      <c r="N30" s="18">
        <f t="shared" si="25"/>
        <v>0.02075789452</v>
      </c>
      <c r="O30" s="18">
        <f t="shared" si="25"/>
        <v>0.2508279171</v>
      </c>
      <c r="Q30" s="1">
        <f>IFERROR(__xludf.DUMMYFUNCTION("""COMPUTED_VALUE"""),0.16103789520263678)</f>
        <v>0.1610378952</v>
      </c>
      <c r="R30" s="4">
        <f>IFERROR(__xludf.DUMMYFUNCTION("""COMPUTED_VALUE"""),0.020757894515991193)</f>
        <v>0.02075789452</v>
      </c>
      <c r="S30" s="4">
        <f>IFERROR(__xludf.DUMMYFUNCTION("""COMPUTED_VALUE"""),0.25082791709899865)</f>
        <v>0.2508279171</v>
      </c>
    </row>
    <row r="31">
      <c r="F31" s="1" t="s">
        <v>15</v>
      </c>
      <c r="G31" s="1">
        <v>5.898</v>
      </c>
      <c r="H31" s="1">
        <v>1.77068546475331E9</v>
      </c>
      <c r="I31" s="4">
        <f t="shared" si="26"/>
        <v>0.6338963528</v>
      </c>
      <c r="J31" s="1">
        <v>0.6981543221</v>
      </c>
      <c r="M31" s="18">
        <f t="shared" ref="M31:O31" si="27">abs(Q31)</f>
        <v>0.1480174866</v>
      </c>
      <c r="N31" s="18">
        <f t="shared" si="27"/>
        <v>0.3394075584</v>
      </c>
      <c r="O31" s="18">
        <f t="shared" si="27"/>
        <v>0.2924274712</v>
      </c>
      <c r="Q31" s="1">
        <f>IFERROR(__xludf.DUMMYFUNCTION("""COMPUTED_VALUE"""),0.14801748657226632)</f>
        <v>0.1480174866</v>
      </c>
      <c r="R31" s="4">
        <f>IFERROR(__xludf.DUMMYFUNCTION("""COMPUTED_VALUE"""),0.3394075584411622)</f>
        <v>0.3394075584</v>
      </c>
      <c r="S31" s="4">
        <f>IFERROR(__xludf.DUMMYFUNCTION("""COMPUTED_VALUE"""),0.29242747116088896)</f>
        <v>0.2924274712</v>
      </c>
    </row>
    <row r="32">
      <c r="F32" s="1" t="s">
        <v>17</v>
      </c>
      <c r="G32" s="1">
        <v>9.333</v>
      </c>
      <c r="H32" s="1">
        <v>1.77068546793845E9</v>
      </c>
      <c r="I32" s="4">
        <f t="shared" si="26"/>
        <v>0.3840364857</v>
      </c>
      <c r="J32" s="1">
        <v>0.6795514235</v>
      </c>
      <c r="M32" s="18">
        <f t="shared" ref="M32:O32" si="28">abs(Q32)</f>
        <v>0.3913654995</v>
      </c>
      <c r="N32" s="18">
        <f t="shared" si="28"/>
        <v>0.5734256382</v>
      </c>
      <c r="O32" s="18">
        <f t="shared" si="28"/>
        <v>0.5327055893</v>
      </c>
      <c r="Q32" s="1">
        <f>IFERROR(__xludf.DUMMYFUNCTION("""COMPUTED_VALUE"""),0.3913654994964606)</f>
        <v>0.3913654995</v>
      </c>
      <c r="R32" s="4">
        <f>IFERROR(__xludf.DUMMYFUNCTION("""COMPUTED_VALUE"""),0.5734256381988527)</f>
        <v>0.5734256382</v>
      </c>
      <c r="S32" s="4">
        <f>IFERROR(__xludf.DUMMYFUNCTION("""COMPUTED_VALUE"""),0.5327055892944337)</f>
        <v>0.5327055893</v>
      </c>
    </row>
    <row r="33">
      <c r="A33" s="1" t="s">
        <v>37</v>
      </c>
      <c r="B33" s="1">
        <v>1.161</v>
      </c>
      <c r="C33" s="1">
        <v>1.770685479E9</v>
      </c>
      <c r="D33" s="1">
        <v>3.8323772E8</v>
      </c>
      <c r="E33" s="4">
        <f>(C33+(D33/1000000000) - B33)</f>
        <v>1770685478</v>
      </c>
      <c r="F33" s="1" t="s">
        <v>14</v>
      </c>
      <c r="G33" s="1">
        <v>2.363</v>
      </c>
      <c r="H33" s="1">
        <v>1.7706854823186E9</v>
      </c>
      <c r="I33" s="4">
        <f t="shared" ref="I33:I35" si="30">(H33-$E$33)-G33</f>
        <v>1.733362114</v>
      </c>
      <c r="J33" s="1">
        <v>1.0654395648</v>
      </c>
      <c r="M33" s="18">
        <f t="shared" ref="M33:O33" si="29">abs(Q33)</f>
        <v>0.08853842926</v>
      </c>
      <c r="N33" s="18">
        <f t="shared" si="29"/>
        <v>0.4554884186</v>
      </c>
      <c r="O33" s="18">
        <f t="shared" si="29"/>
        <v>0.3704285374</v>
      </c>
      <c r="Q33" s="1">
        <f>IFERROR(__xludf.DUMMYFUNCTION("""COMPUTED_VALUE"""),0.08853842926025379)</f>
        <v>0.08853842926</v>
      </c>
      <c r="R33" s="4">
        <f>IFERROR(__xludf.DUMMYFUNCTION("""COMPUTED_VALUE"""),0.4554884185791015)</f>
        <v>0.4554884186</v>
      </c>
      <c r="S33" s="4">
        <f>IFERROR(__xludf.DUMMYFUNCTION("""COMPUTED_VALUE"""),0.3704285373687748)</f>
        <v>0.3704285374</v>
      </c>
    </row>
    <row r="34">
      <c r="F34" s="1" t="s">
        <v>15</v>
      </c>
      <c r="G34" s="1">
        <v>5.267</v>
      </c>
      <c r="H34" s="1">
        <v>1.77068548551845E9</v>
      </c>
      <c r="I34" s="4">
        <f t="shared" si="30"/>
        <v>2.029212196</v>
      </c>
      <c r="J34" s="1">
        <v>0.7520148837</v>
      </c>
      <c r="M34" s="18">
        <f t="shared" ref="M34:O34" si="31">abs(Q34)</f>
        <v>0.09055677795</v>
      </c>
      <c r="N34" s="18">
        <f t="shared" si="31"/>
        <v>0.2704830856</v>
      </c>
      <c r="O34" s="18">
        <f t="shared" si="31"/>
        <v>0.156353138</v>
      </c>
      <c r="Q34" s="1">
        <f>IFERROR(__xludf.DUMMYFUNCTION("""COMPUTED_VALUE"""),-0.09055677795410144)</f>
        <v>-0.09055677795</v>
      </c>
      <c r="R34" s="4">
        <f>IFERROR(__xludf.DUMMYFUNCTION("""COMPUTED_VALUE"""),0.27048308563232437)</f>
        <v>0.2704830856</v>
      </c>
      <c r="S34" s="4">
        <f>IFERROR(__xludf.DUMMYFUNCTION("""COMPUTED_VALUE"""),0.15635313796997075)</f>
        <v>0.156353138</v>
      </c>
    </row>
    <row r="35">
      <c r="F35" s="1" t="s">
        <v>17</v>
      </c>
      <c r="G35" s="1">
        <v>8.411</v>
      </c>
      <c r="H35" s="1">
        <v>1.77068548841408E9</v>
      </c>
      <c r="I35" s="4">
        <f t="shared" si="30"/>
        <v>1.780842079</v>
      </c>
      <c r="J35" s="1">
        <v>0.7371280318</v>
      </c>
      <c r="M35" s="18">
        <f t="shared" ref="M35:O35" si="32">abs(Q35)</f>
        <v>0.0828961277</v>
      </c>
      <c r="N35" s="18">
        <f t="shared" si="32"/>
        <v>0.09502378273</v>
      </c>
      <c r="O35" s="18">
        <f t="shared" si="32"/>
        <v>0.1996337719</v>
      </c>
      <c r="Q35" s="1">
        <f>IFERROR(__xludf.DUMMYFUNCTION("""COMPUTED_VALUE"""),-0.08289612770080534)</f>
        <v>-0.0828961277</v>
      </c>
      <c r="R35" s="4">
        <f>IFERROR(__xludf.DUMMYFUNCTION("""COMPUTED_VALUE"""),0.09502378273010259)</f>
        <v>0.09502378273</v>
      </c>
      <c r="S35" s="4">
        <f>IFERROR(__xludf.DUMMYFUNCTION("""COMPUTED_VALUE"""),0.19963377189636233)</f>
        <v>0.1996337719</v>
      </c>
    </row>
    <row r="36">
      <c r="A36" s="1" t="s">
        <v>38</v>
      </c>
      <c r="B36" s="1">
        <v>0.381</v>
      </c>
      <c r="C36" s="1">
        <v>1.770685515E9</v>
      </c>
      <c r="D36" s="1">
        <v>1.36985375E8</v>
      </c>
      <c r="E36" s="4">
        <f>(C36+(D36/1000000000) - B36)</f>
        <v>1770685515</v>
      </c>
      <c r="F36" s="1" t="s">
        <v>14</v>
      </c>
      <c r="G36" s="1">
        <v>2.081</v>
      </c>
      <c r="H36" s="1">
        <v>1.77068551697712E9</v>
      </c>
      <c r="I36" s="4">
        <f t="shared" ref="I36:I38" si="34">(H36-$E$36)-G36</f>
        <v>0.1401346626</v>
      </c>
      <c r="J36" s="1">
        <v>1.0844269984</v>
      </c>
      <c r="L36" s="2" t="s">
        <v>39</v>
      </c>
      <c r="M36" s="18">
        <f t="shared" ref="M36:O36" si="33">abs(Q36)</f>
        <v>0.1028762703</v>
      </c>
      <c r="N36" s="18">
        <f t="shared" si="33"/>
        <v>1.040153793</v>
      </c>
      <c r="O36" s="18">
        <f t="shared" si="33"/>
        <v>1.069263815</v>
      </c>
      <c r="P36" s="1" t="s">
        <v>40</v>
      </c>
      <c r="Q36" s="4">
        <f>IFERROR(__xludf.DUMMYFUNCTION("FILTER(AssamTrack2NewThresholding!I:I, AssamTrack2NewThresholding!F:F=""Tile"", AssamTrack2NewThresholding!I:I)"),-0.10287627029418989)</f>
        <v>-0.1028762703</v>
      </c>
      <c r="R36" s="4">
        <f>IFERROR(__xludf.DUMMYFUNCTION("FILTER(AssamTrack2NewThresholding!I:I, AssamTrack2NewThresholding!F:F=""Cardboard"", AssamTrack2NewThresholding!I:I)"),1.0401537933349605)</f>
        <v>1.040153793</v>
      </c>
      <c r="S36" s="4">
        <f>IFERROR(__xludf.DUMMYFUNCTION("FILTER(AssamTrack2NewThresholding!I:I, AssamTrack2NewThresholding!F:F=""Acrylic"", AssamTrack2NewThresholding!I:I)"),1.0692638149261473)</f>
        <v>1.069263815</v>
      </c>
    </row>
    <row r="37">
      <c r="F37" s="1" t="s">
        <v>15</v>
      </c>
      <c r="G37" s="1">
        <v>4.306</v>
      </c>
      <c r="H37" s="1">
        <v>1.7706855191939E9</v>
      </c>
      <c r="I37" s="4">
        <f t="shared" si="34"/>
        <v>0.1319148483</v>
      </c>
      <c r="J37" s="1">
        <v>0.9668405456</v>
      </c>
      <c r="M37" s="18">
        <f t="shared" ref="M37:O37" si="35">abs(Q37)</f>
        <v>0.1206200981</v>
      </c>
      <c r="N37" s="18">
        <f t="shared" si="35"/>
        <v>0.1261999817</v>
      </c>
      <c r="O37" s="18">
        <f t="shared" si="35"/>
        <v>0.3132799091</v>
      </c>
      <c r="Q37" s="1">
        <f>IFERROR(__xludf.DUMMYFUNCTION("""COMPUTED_VALUE"""),-0.12062009811401353)</f>
        <v>-0.1206200981</v>
      </c>
      <c r="R37" s="4">
        <f>IFERROR(__xludf.DUMMYFUNCTION("""COMPUTED_VALUE"""),0.126199981689453)</f>
        <v>0.1261999817</v>
      </c>
      <c r="S37" s="4">
        <f>IFERROR(__xludf.DUMMYFUNCTION("""COMPUTED_VALUE"""),0.3132799091339109)</f>
        <v>0.3132799091</v>
      </c>
    </row>
    <row r="38">
      <c r="F38" s="1" t="s">
        <v>17</v>
      </c>
      <c r="G38" s="1">
        <v>6.907</v>
      </c>
      <c r="H38" s="1">
        <v>1.77068552191907E9</v>
      </c>
      <c r="I38" s="4">
        <f t="shared" si="34"/>
        <v>0.2560847454</v>
      </c>
      <c r="J38" s="1">
        <v>0.6586842966</v>
      </c>
      <c r="M38" s="18">
        <f t="shared" ref="M38:O38" si="36">abs(Q38)</f>
        <v>0.2406031113</v>
      </c>
      <c r="N38" s="18">
        <f t="shared" si="36"/>
        <v>0.05833682632</v>
      </c>
      <c r="O38" s="18">
        <f t="shared" si="36"/>
        <v>0.412416954</v>
      </c>
      <c r="Q38" s="1">
        <f>IFERROR(__xludf.DUMMYFUNCTION("""COMPUTED_VALUE"""),-0.2406031112670899)</f>
        <v>-0.2406031113</v>
      </c>
      <c r="R38" s="4">
        <f>IFERROR(__xludf.DUMMYFUNCTION("""COMPUTED_VALUE"""),0.058336826324463686)</f>
        <v>0.05833682632</v>
      </c>
      <c r="S38" s="4">
        <f>IFERROR(__xludf.DUMMYFUNCTION("""COMPUTED_VALUE"""),0.4124169540405269)</f>
        <v>0.412416954</v>
      </c>
    </row>
    <row r="39">
      <c r="A39" s="1" t="s">
        <v>41</v>
      </c>
      <c r="B39" s="1">
        <v>0.361</v>
      </c>
      <c r="C39" s="1">
        <v>1.770685539E9</v>
      </c>
      <c r="D39" s="1">
        <v>4.9959557E7</v>
      </c>
      <c r="E39" s="4">
        <f>(C39+(D39/1000000000) - B39)</f>
        <v>1770685539</v>
      </c>
      <c r="F39" s="1" t="s">
        <v>14</v>
      </c>
      <c r="G39" s="1">
        <v>2.254</v>
      </c>
      <c r="H39" s="1">
        <v>1.77068554105919E9</v>
      </c>
      <c r="I39" s="4">
        <f t="shared" ref="I39:I41" si="38">(H39-$E$39)-G39</f>
        <v>0.1162304363</v>
      </c>
      <c r="J39" s="1">
        <v>1.0026714958</v>
      </c>
      <c r="M39" s="18">
        <f t="shared" ref="M39:O39" si="37">abs(Q39)</f>
        <v>0.192362236</v>
      </c>
      <c r="N39" s="18">
        <f t="shared" si="37"/>
        <v>0.07741209412</v>
      </c>
      <c r="O39" s="18">
        <f t="shared" si="37"/>
        <v>0.2801220913</v>
      </c>
      <c r="Q39" s="1">
        <f>IFERROR(__xludf.DUMMYFUNCTION("""COMPUTED_VALUE"""),0.19236223602294933)</f>
        <v>0.192362236</v>
      </c>
      <c r="R39" s="4">
        <f>IFERROR(__xludf.DUMMYFUNCTION("""COMPUTED_VALUE"""),0.07741209411621064)</f>
        <v>0.07741209412</v>
      </c>
      <c r="S39" s="4">
        <f>IFERROR(__xludf.DUMMYFUNCTION("""COMPUTED_VALUE"""),0.2801220912933342)</f>
        <v>0.2801220913</v>
      </c>
    </row>
    <row r="40">
      <c r="F40" s="1" t="s">
        <v>15</v>
      </c>
      <c r="G40" s="1">
        <v>5.071</v>
      </c>
      <c r="H40" s="1">
        <v>1.77068554385939E9</v>
      </c>
      <c r="I40" s="4">
        <f t="shared" si="38"/>
        <v>0.09943042183</v>
      </c>
      <c r="J40" s="1">
        <v>0.7233920819</v>
      </c>
      <c r="M40" s="18">
        <f t="shared" ref="M40:O40" si="39">abs(Q40)</f>
        <v>0.09999036407</v>
      </c>
      <c r="N40" s="18">
        <f t="shared" si="39"/>
        <v>0.2449603271</v>
      </c>
      <c r="O40" s="18">
        <f t="shared" si="39"/>
        <v>0.08009960175</v>
      </c>
      <c r="Q40" s="1">
        <f>IFERROR(__xludf.DUMMYFUNCTION("""COMPUTED_VALUE"""),-0.09999036407470685)</f>
        <v>-0.09999036407</v>
      </c>
      <c r="R40" s="4">
        <f>IFERROR(__xludf.DUMMYFUNCTION("""COMPUTED_VALUE"""),-0.24496032714843707)</f>
        <v>-0.2449603271</v>
      </c>
      <c r="S40" s="4">
        <f>IFERROR(__xludf.DUMMYFUNCTION("""COMPUTED_VALUE"""),0.08009960174560504)</f>
        <v>0.08009960175</v>
      </c>
    </row>
    <row r="41">
      <c r="F41" s="1" t="s">
        <v>17</v>
      </c>
      <c r="G41" s="1">
        <v>8.066</v>
      </c>
      <c r="H41" s="1">
        <v>1.7706855468542E9</v>
      </c>
      <c r="I41" s="4">
        <f t="shared" si="38"/>
        <v>0.09924028778</v>
      </c>
      <c r="J41" s="1">
        <v>0.7251524385</v>
      </c>
      <c r="M41" s="18">
        <f t="shared" ref="M41:O41" si="40">abs(Q41)</f>
        <v>0.5459241199</v>
      </c>
      <c r="N41" s="18">
        <f t="shared" si="40"/>
        <v>0.5695140781</v>
      </c>
      <c r="O41" s="18">
        <f t="shared" si="40"/>
        <v>0.8174242229</v>
      </c>
      <c r="Q41" s="1">
        <f>IFERROR(__xludf.DUMMYFUNCTION("""COMPUTED_VALUE"""),0.5459241199493405)</f>
        <v>0.5459241199</v>
      </c>
      <c r="R41" s="4">
        <f>IFERROR(__xludf.DUMMYFUNCTION("""COMPUTED_VALUE"""),0.5695140781402586)</f>
        <v>0.5695140781</v>
      </c>
      <c r="S41" s="4">
        <f>IFERROR(__xludf.DUMMYFUNCTION("""COMPUTED_VALUE"""),0.8174242229461672)</f>
        <v>0.8174242229</v>
      </c>
    </row>
    <row r="42">
      <c r="A42" s="1" t="s">
        <v>42</v>
      </c>
      <c r="B42" s="1">
        <v>0.001</v>
      </c>
      <c r="C42" s="1">
        <v>1.77068556E9</v>
      </c>
      <c r="D42" s="1">
        <v>2.71502758E8</v>
      </c>
      <c r="E42" s="4">
        <f>(C42+(D42/1000000000) - B42)</f>
        <v>1770685560</v>
      </c>
      <c r="F42" s="1" t="s">
        <v>14</v>
      </c>
      <c r="G42" s="1">
        <v>1.799</v>
      </c>
      <c r="H42" s="1">
        <v>1.77068556253928E9</v>
      </c>
      <c r="I42" s="4">
        <f t="shared" ref="I42:I44" si="42">(H42-$E$42)-G42</f>
        <v>0.469777132</v>
      </c>
      <c r="J42" s="1">
        <v>0.9468346919</v>
      </c>
      <c r="M42" s="18">
        <f t="shared" ref="M42:O42" si="41">abs(Q42)</f>
        <v>0.5253371658</v>
      </c>
      <c r="N42" s="18">
        <f t="shared" si="41"/>
        <v>0.6964571056</v>
      </c>
      <c r="O42" s="18">
        <f t="shared" si="41"/>
        <v>0.4148069477</v>
      </c>
      <c r="Q42" s="1">
        <f>IFERROR(__xludf.DUMMYFUNCTION("""COMPUTED_VALUE"""),0.5253371658325197)</f>
        <v>0.5253371658</v>
      </c>
      <c r="R42" s="4">
        <f>IFERROR(__xludf.DUMMYFUNCTION("""COMPUTED_VALUE"""),0.6964571056365969)</f>
        <v>0.6964571056</v>
      </c>
      <c r="S42" s="4">
        <f>IFERROR(__xludf.DUMMYFUNCTION("""COMPUTED_VALUE"""),0.4148069477081293)</f>
        <v>0.4148069477</v>
      </c>
    </row>
    <row r="43">
      <c r="F43" s="1" t="s">
        <v>15</v>
      </c>
      <c r="G43" s="1">
        <v>4.098</v>
      </c>
      <c r="H43" s="1">
        <v>1.77068556507437E9</v>
      </c>
      <c r="I43" s="4">
        <f t="shared" si="42"/>
        <v>0.7058671017</v>
      </c>
      <c r="J43" s="1">
        <v>1.0436262687</v>
      </c>
      <c r="M43" s="18">
        <f t="shared" ref="M43:O43" si="43">abs(Q43)</f>
        <v>0.05647660065</v>
      </c>
      <c r="N43" s="18">
        <f t="shared" si="43"/>
        <v>0.134796587</v>
      </c>
      <c r="O43" s="18">
        <f t="shared" si="43"/>
        <v>0.0919265728</v>
      </c>
      <c r="Q43" s="1">
        <f>IFERROR(__xludf.DUMMYFUNCTION("""COMPUTED_VALUE"""),0.05647660064697302)</f>
        <v>0.05647660065</v>
      </c>
      <c r="R43" s="4">
        <f>IFERROR(__xludf.DUMMYFUNCTION("""COMPUTED_VALUE"""),0.13479658699035646)</f>
        <v>0.134796587</v>
      </c>
      <c r="S43" s="4">
        <f>IFERROR(__xludf.DUMMYFUNCTION("""COMPUTED_VALUE"""),0.0919265727996823)</f>
        <v>0.0919265728</v>
      </c>
    </row>
    <row r="44">
      <c r="F44" s="1" t="s">
        <v>17</v>
      </c>
      <c r="G44" s="1">
        <v>7.399</v>
      </c>
      <c r="H44" s="1">
        <v>1.77068556798029E9</v>
      </c>
      <c r="I44" s="4">
        <f t="shared" si="42"/>
        <v>0.3107871304</v>
      </c>
      <c r="J44" s="1">
        <v>0.6678314216</v>
      </c>
      <c r="M44" s="18">
        <f t="shared" ref="M44:O44" si="44">abs(Q44)</f>
        <v>0.5194456863</v>
      </c>
      <c r="N44" s="18">
        <f t="shared" si="44"/>
        <v>0.7797456169</v>
      </c>
      <c r="O44" s="18">
        <f t="shared" si="44"/>
        <v>1.107865723</v>
      </c>
      <c r="Q44" s="1">
        <f>IFERROR(__xludf.DUMMYFUNCTION("""COMPUTED_VALUE"""),0.5194456863403323)</f>
        <v>0.5194456863</v>
      </c>
      <c r="R44" s="4">
        <f>IFERROR(__xludf.DUMMYFUNCTION("""COMPUTED_VALUE"""),0.7797456169128409)</f>
        <v>0.7797456169</v>
      </c>
      <c r="S44" s="4">
        <f>IFERROR(__xludf.DUMMYFUNCTION("""COMPUTED_VALUE"""),1.1078657226562498)</f>
        <v>1.107865723</v>
      </c>
    </row>
    <row r="45">
      <c r="A45" s="1" t="s">
        <v>43</v>
      </c>
      <c r="B45" s="1">
        <v>0.001</v>
      </c>
      <c r="C45" s="1">
        <v>1.770685581E9</v>
      </c>
      <c r="D45" s="1">
        <v>4.41852002E8</v>
      </c>
      <c r="E45" s="4">
        <f>(C45+(D45/1000000000) - B45)</f>
        <v>1770685581</v>
      </c>
      <c r="F45" s="1" t="s">
        <v>14</v>
      </c>
      <c r="G45" s="1">
        <v>1.895</v>
      </c>
      <c r="H45" s="1">
        <v>1.77068558335661E9</v>
      </c>
      <c r="I45" s="4">
        <f t="shared" ref="I45:I47" si="46">(H45-$E$45)-G45</f>
        <v>0.02075789452</v>
      </c>
      <c r="J45" s="1">
        <v>1.0486527015</v>
      </c>
      <c r="M45" s="18">
        <f t="shared" ref="M45:O45" si="45">abs(Q45)</f>
        <v>3.44763139</v>
      </c>
      <c r="N45" s="18">
        <f t="shared" si="45"/>
        <v>3.019541412</v>
      </c>
      <c r="O45" s="18">
        <f t="shared" si="45"/>
        <v>3.012661449</v>
      </c>
      <c r="Q45" s="1">
        <f>IFERROR(__xludf.DUMMYFUNCTION("""COMPUTED_VALUE"""),-3.44763138961792)</f>
        <v>-3.44763139</v>
      </c>
      <c r="R45" s="4">
        <f>IFERROR(__xludf.DUMMYFUNCTION("""COMPUTED_VALUE"""),-3.019541412353515)</f>
        <v>-3.019541412</v>
      </c>
      <c r="S45" s="4">
        <f>IFERROR(__xludf.DUMMYFUNCTION("""COMPUTED_VALUE"""),-3.0126614494323736)</f>
        <v>-3.012661449</v>
      </c>
    </row>
    <row r="46">
      <c r="F46" s="1" t="s">
        <v>15</v>
      </c>
      <c r="G46" s="1">
        <v>4.666</v>
      </c>
      <c r="H46" s="1">
        <v>1.77068558635768E9</v>
      </c>
      <c r="I46" s="4">
        <f t="shared" si="46"/>
        <v>0.2508279171</v>
      </c>
      <c r="J46" s="1">
        <v>0.7675737622</v>
      </c>
      <c r="M46" s="18">
        <f t="shared" ref="M46:O46" si="47">abs(Q46)</f>
        <v>0.03685159492</v>
      </c>
      <c r="N46" s="18">
        <f t="shared" si="47"/>
        <v>0.1383184929</v>
      </c>
      <c r="O46" s="18">
        <f t="shared" si="47"/>
        <v>0.2683182926</v>
      </c>
      <c r="Q46" s="1">
        <f>IFERROR(__xludf.DUMMYFUNCTION("""COMPUTED_VALUE"""),-0.03685159492492662)</f>
        <v>-0.03685159492</v>
      </c>
      <c r="R46" s="4">
        <f>IFERROR(__xludf.DUMMYFUNCTION("""COMPUTED_VALUE"""),0.1383184928894039)</f>
        <v>0.1383184929</v>
      </c>
      <c r="S46" s="4">
        <f>IFERROR(__xludf.DUMMYFUNCTION("""COMPUTED_VALUE"""),0.2683182926177974)</f>
        <v>0.2683182926</v>
      </c>
    </row>
    <row r="47">
      <c r="F47" s="1" t="s">
        <v>17</v>
      </c>
      <c r="G47" s="1">
        <v>7.553</v>
      </c>
      <c r="H47" s="1">
        <v>1.77068558915489E9</v>
      </c>
      <c r="I47" s="4">
        <f t="shared" si="46"/>
        <v>0.1610378952</v>
      </c>
      <c r="J47" s="1">
        <v>0.6395216272</v>
      </c>
      <c r="M47" s="18">
        <f t="shared" ref="M47:O47" si="48">abs(Q47)</f>
        <v>0.145812912</v>
      </c>
      <c r="N47" s="18">
        <f t="shared" si="48"/>
        <v>0.07139305878</v>
      </c>
      <c r="O47" s="18">
        <f t="shared" si="48"/>
        <v>0.08367701721</v>
      </c>
      <c r="Q47" s="1">
        <f>IFERROR(__xludf.DUMMYFUNCTION("""COMPUTED_VALUE"""),-0.14581291198730462)</f>
        <v>-0.145812912</v>
      </c>
      <c r="R47" s="4">
        <f>IFERROR(__xludf.DUMMYFUNCTION("""COMPUTED_VALUE"""),-0.07139305877685587)</f>
        <v>-0.07139305878</v>
      </c>
      <c r="S47" s="4">
        <f>IFERROR(__xludf.DUMMYFUNCTION("""COMPUTED_VALUE"""),0.08367701721191345)</f>
        <v>0.08367701721</v>
      </c>
    </row>
    <row r="48">
      <c r="A48" s="1" t="s">
        <v>44</v>
      </c>
      <c r="B48" s="1">
        <v>0.661</v>
      </c>
      <c r="C48" s="1">
        <v>1.770685602E9</v>
      </c>
      <c r="D48" s="1">
        <v>3.26632441E8</v>
      </c>
      <c r="E48" s="4">
        <f>(C48+(D48/1000000000) - B48)</f>
        <v>1770685602</v>
      </c>
      <c r="F48" s="1" t="s">
        <v>14</v>
      </c>
      <c r="G48" s="1">
        <v>2.63</v>
      </c>
      <c r="H48" s="1">
        <v>1.77068560463504E9</v>
      </c>
      <c r="I48" s="4">
        <f t="shared" ref="I48:I50" si="50">(H48-$E$48)-G48</f>
        <v>0.3394075584</v>
      </c>
      <c r="J48" s="1">
        <v>0.9765088555</v>
      </c>
      <c r="M48" s="18">
        <f t="shared" ref="M48:O48" si="49">abs(Q48)</f>
        <v>0.2921919193</v>
      </c>
      <c r="N48" s="18">
        <f t="shared" si="49"/>
        <v>0.5828519154</v>
      </c>
      <c r="O48" s="18">
        <f t="shared" si="49"/>
        <v>0.7215918293</v>
      </c>
      <c r="Q48" s="1">
        <f>IFERROR(__xludf.DUMMYFUNCTION("""COMPUTED_VALUE"""),0.2921919193267821)</f>
        <v>0.2921919193</v>
      </c>
      <c r="R48" s="4">
        <f>IFERROR(__xludf.DUMMYFUNCTION("""COMPUTED_VALUE"""),0.5828519153594964)</f>
        <v>0.5828519154</v>
      </c>
      <c r="S48" s="4">
        <f>IFERROR(__xludf.DUMMYFUNCTION("""COMPUTED_VALUE"""),0.7215918292999266)</f>
        <v>0.7215918293</v>
      </c>
    </row>
    <row r="49">
      <c r="F49" s="1" t="s">
        <v>15</v>
      </c>
      <c r="G49" s="1">
        <v>5.797</v>
      </c>
      <c r="H49" s="1">
        <v>1.77068560775506E9</v>
      </c>
      <c r="I49" s="4">
        <f t="shared" si="50"/>
        <v>0.2924274712</v>
      </c>
      <c r="J49" s="1">
        <v>0.6747166092</v>
      </c>
      <c r="M49" s="18">
        <f t="shared" ref="M49:O49" si="51">abs(Q49)</f>
        <v>0.03493863487</v>
      </c>
      <c r="N49" s="18">
        <f t="shared" si="51"/>
        <v>0.2022813358</v>
      </c>
      <c r="O49" s="18">
        <f t="shared" si="51"/>
        <v>0.2152712364</v>
      </c>
      <c r="Q49" s="1">
        <f>IFERROR(__xludf.DUMMYFUNCTION("""COMPUTED_VALUE"""),-0.034938634872436314)</f>
        <v>-0.03493863487</v>
      </c>
      <c r="R49" s="4">
        <f>IFERROR(__xludf.DUMMYFUNCTION("""COMPUTED_VALUE"""),0.20228133583068875)</f>
        <v>0.2022813358</v>
      </c>
      <c r="S49" s="4">
        <f>IFERROR(__xludf.DUMMYFUNCTION("""COMPUTED_VALUE"""),0.21527123641967805)</f>
        <v>0.2152712364</v>
      </c>
    </row>
    <row r="50">
      <c r="F50" s="1" t="s">
        <v>17</v>
      </c>
      <c r="G50" s="1">
        <v>8.466</v>
      </c>
      <c r="H50" s="1">
        <v>1.77068561027965E9</v>
      </c>
      <c r="I50" s="4">
        <f t="shared" si="50"/>
        <v>0.1480174866</v>
      </c>
      <c r="J50" s="1">
        <v>0.630516063</v>
      </c>
      <c r="M50" s="18">
        <f t="shared" ref="M50:O50" si="52">abs(Q50)</f>
        <v>0.09049027634</v>
      </c>
      <c r="N50" s="18">
        <f t="shared" si="52"/>
        <v>0.1895002422</v>
      </c>
      <c r="O50" s="18">
        <f t="shared" si="52"/>
        <v>0.3159003468</v>
      </c>
      <c r="Q50" s="1">
        <f>IFERROR(__xludf.DUMMYFUNCTION("""COMPUTED_VALUE"""),0.09049027633666995)</f>
        <v>0.09049027634</v>
      </c>
      <c r="R50" s="4">
        <f>IFERROR(__xludf.DUMMYFUNCTION("""COMPUTED_VALUE"""),0.18950024223327588)</f>
        <v>0.1895002422</v>
      </c>
      <c r="S50" s="4">
        <f>IFERROR(__xludf.DUMMYFUNCTION("""COMPUTED_VALUE"""),0.31590034675598133)</f>
        <v>0.3159003468</v>
      </c>
    </row>
    <row r="51">
      <c r="A51" s="1" t="s">
        <v>45</v>
      </c>
      <c r="B51" s="1">
        <v>0.001</v>
      </c>
      <c r="C51" s="1">
        <v>1.770685622E9</v>
      </c>
      <c r="D51" s="1">
        <v>1.64354407E8</v>
      </c>
      <c r="E51" s="4">
        <f>(C51+(D51/1000000000) - B51)</f>
        <v>1770685622</v>
      </c>
      <c r="F51" s="1" t="s">
        <v>14</v>
      </c>
      <c r="G51" s="1">
        <v>2.163</v>
      </c>
      <c r="H51" s="1">
        <v>1.77068562489978E9</v>
      </c>
      <c r="I51" s="4">
        <f t="shared" ref="I51:I53" si="54">(H51-$E$51)-G51</f>
        <v>0.5734256382</v>
      </c>
      <c r="J51" s="1">
        <v>0.8813267071</v>
      </c>
      <c r="M51" s="18">
        <f t="shared" ref="M51:O51" si="53">abs(Q51)</f>
        <v>0.1932466412</v>
      </c>
      <c r="N51" s="18">
        <f t="shared" si="53"/>
        <v>0.02700331879</v>
      </c>
      <c r="O51" s="18">
        <f t="shared" si="53"/>
        <v>0.1562367306</v>
      </c>
      <c r="Q51" s="1">
        <f>IFERROR(__xludf.DUMMYFUNCTION("""COMPUTED_VALUE"""),-0.19324664115905765)</f>
        <v>-0.1932466412</v>
      </c>
      <c r="R51" s="4">
        <f>IFERROR(__xludf.DUMMYFUNCTION("""COMPUTED_VALUE"""),0.027003318786620767)</f>
        <v>0.02700331879</v>
      </c>
      <c r="S51" s="4">
        <f>IFERROR(__xludf.DUMMYFUNCTION("""COMPUTED_VALUE"""),-0.15623673057556076)</f>
        <v>-0.1562367306</v>
      </c>
    </row>
    <row r="52">
      <c r="F52" s="1" t="s">
        <v>15</v>
      </c>
      <c r="G52" s="1">
        <v>5.779</v>
      </c>
      <c r="H52" s="1">
        <v>1.77068562847506E9</v>
      </c>
      <c r="I52" s="4">
        <f t="shared" si="54"/>
        <v>0.5327055893</v>
      </c>
      <c r="J52" s="1">
        <v>0.6826693048</v>
      </c>
      <c r="M52" s="18" t="str">
        <f t="shared" ref="M52:N52" si="55">abs(Q52)</f>
        <v>#REF!</v>
      </c>
      <c r="N52" s="18" t="str">
        <f t="shared" si="55"/>
        <v>#REF!</v>
      </c>
      <c r="P52" s="1" t="s">
        <v>46</v>
      </c>
      <c r="Q52" s="4" t="str">
        <f>IFERROR(__xludf.DUMMYFUNCTION("filter('Assam Track 3'!I:I,'Assam Track 3'!F:F=""Tile"",'Assam Track 3'!I:I)"),"#REF!")</f>
        <v>#REF!</v>
      </c>
      <c r="R52" s="4" t="str">
        <f>IFERROR(__xludf.DUMMYFUNCTION("filter('Assam Track 3'!I:I,'Assam Track 3'!F:F=""Cardboard"")"),"#REF!")</f>
        <v>#REF!</v>
      </c>
    </row>
    <row r="53">
      <c r="F53" s="1" t="s">
        <v>17</v>
      </c>
      <c r="G53" s="1">
        <v>8.905</v>
      </c>
      <c r="H53" s="1">
        <v>1.77068563145972E9</v>
      </c>
      <c r="I53" s="4">
        <f t="shared" si="54"/>
        <v>0.3913654995</v>
      </c>
      <c r="J53" s="1">
        <v>0.5967960455</v>
      </c>
      <c r="M53" s="18">
        <f t="shared" ref="M53:N53" si="56">abs(Q53)</f>
        <v>0</v>
      </c>
      <c r="N53" s="18">
        <f t="shared" si="56"/>
        <v>0</v>
      </c>
    </row>
    <row r="54">
      <c r="A54" s="1" t="s">
        <v>47</v>
      </c>
      <c r="B54" s="1">
        <v>0.001</v>
      </c>
      <c r="C54" s="1">
        <v>1.770685648E9</v>
      </c>
      <c r="D54" s="1">
        <v>6.6453143E8</v>
      </c>
      <c r="E54" s="4">
        <f>(C54+(D54/1000000000) - B54)</f>
        <v>1770685649</v>
      </c>
      <c r="F54" s="1" t="s">
        <v>14</v>
      </c>
      <c r="G54" s="1">
        <v>2.701</v>
      </c>
      <c r="H54" s="1">
        <v>1.77068565182002E9</v>
      </c>
      <c r="I54" s="4">
        <f t="shared" ref="I54:I56" si="58">(H54-$E$54)-G54</f>
        <v>0.4554884186</v>
      </c>
      <c r="J54" s="1">
        <v>0.9142219725</v>
      </c>
      <c r="M54" s="18">
        <f t="shared" ref="M54:N54" si="57">abs(Q54)</f>
        <v>0</v>
      </c>
      <c r="N54" s="18">
        <f t="shared" si="57"/>
        <v>0</v>
      </c>
    </row>
    <row r="55">
      <c r="F55" s="1" t="s">
        <v>15</v>
      </c>
      <c r="G55" s="1">
        <v>5.701</v>
      </c>
      <c r="H55" s="1">
        <v>1.77068565473496E9</v>
      </c>
      <c r="I55" s="4">
        <f t="shared" si="58"/>
        <v>0.3704285374</v>
      </c>
      <c r="J55" s="1">
        <v>0.722906372</v>
      </c>
      <c r="M55" s="18">
        <f t="shared" ref="M55:N55" si="59">abs(Q55)</f>
        <v>0</v>
      </c>
      <c r="N55" s="18">
        <f t="shared" si="59"/>
        <v>0</v>
      </c>
    </row>
    <row r="56">
      <c r="F56" s="1" t="s">
        <v>17</v>
      </c>
      <c r="G56" s="1">
        <v>8.503</v>
      </c>
      <c r="H56" s="1">
        <v>1.77068565725507E9</v>
      </c>
      <c r="I56" s="4">
        <f t="shared" si="58"/>
        <v>0.08853842926</v>
      </c>
      <c r="J56" s="1">
        <v>0.6952665292</v>
      </c>
      <c r="M56" s="18">
        <f t="shared" ref="M56:N56" si="60">abs(Q56)</f>
        <v>0</v>
      </c>
      <c r="N56" s="18">
        <f t="shared" si="60"/>
        <v>0</v>
      </c>
    </row>
    <row r="57">
      <c r="A57" s="1" t="s">
        <v>48</v>
      </c>
      <c r="B57" s="1">
        <v>0.26</v>
      </c>
      <c r="C57" s="1">
        <v>1.770685681E9</v>
      </c>
      <c r="D57" s="1">
        <v>1.81996843E8</v>
      </c>
      <c r="E57" s="4">
        <f>(C57+(D57/1000000000) - B57)</f>
        <v>1770685681</v>
      </c>
      <c r="F57" s="1" t="s">
        <v>14</v>
      </c>
      <c r="G57" s="1">
        <v>2.203</v>
      </c>
      <c r="H57" s="1">
        <v>1.77068568339548E9</v>
      </c>
      <c r="I57" s="4">
        <f t="shared" ref="I57:I59" si="62">(H57-$E$57)-G57</f>
        <v>0.2704830856</v>
      </c>
      <c r="J57" s="1">
        <v>0.936962369024282</v>
      </c>
      <c r="M57" s="18">
        <f t="shared" ref="M57:N57" si="61">abs(Q57)</f>
        <v>0</v>
      </c>
      <c r="N57" s="18">
        <f t="shared" si="61"/>
        <v>0</v>
      </c>
    </row>
    <row r="58">
      <c r="F58" s="1" t="s">
        <v>15</v>
      </c>
      <c r="G58" s="1">
        <v>4.702</v>
      </c>
      <c r="H58" s="1">
        <v>1.77068568578035E9</v>
      </c>
      <c r="I58" s="4">
        <f t="shared" si="62"/>
        <v>0.156353138</v>
      </c>
      <c r="J58" s="1">
        <v>1.06170511115125</v>
      </c>
      <c r="M58" s="18">
        <f t="shared" ref="M58:N58" si="63">abs(Q58)</f>
        <v>0</v>
      </c>
      <c r="N58" s="18">
        <f t="shared" si="63"/>
        <v>0</v>
      </c>
    </row>
    <row r="59">
      <c r="F59" s="1" t="s">
        <v>17</v>
      </c>
      <c r="G59" s="1">
        <v>7.864</v>
      </c>
      <c r="H59" s="1">
        <v>1.77068568869544E9</v>
      </c>
      <c r="I59" s="4">
        <f t="shared" si="62"/>
        <v>-0.09055677795</v>
      </c>
      <c r="J59" s="1">
        <v>0.699887318630538</v>
      </c>
      <c r="M59" s="18">
        <f t="shared" ref="M59:N59" si="64">abs(Q59)</f>
        <v>0</v>
      </c>
      <c r="N59" s="18">
        <f t="shared" si="64"/>
        <v>0</v>
      </c>
    </row>
    <row r="60">
      <c r="A60" s="1" t="s">
        <v>49</v>
      </c>
      <c r="B60" s="1">
        <v>0.12</v>
      </c>
      <c r="C60" s="1">
        <v>1.7706857E9</v>
      </c>
      <c r="D60" s="1">
        <v>9.23396095E8</v>
      </c>
      <c r="E60" s="4">
        <f>(C60+(D60/1000000000) - B60)</f>
        <v>1770685701</v>
      </c>
      <c r="F60" s="1" t="s">
        <v>14</v>
      </c>
      <c r="G60" s="1">
        <v>1.942</v>
      </c>
      <c r="H60" s="1">
        <v>1.77068570284042E9</v>
      </c>
      <c r="I60" s="4">
        <f t="shared" ref="I60:I62" si="66">(H60-$E$60)-G60</f>
        <v>0.09502378273</v>
      </c>
      <c r="J60" s="1">
        <v>1.02945181978471</v>
      </c>
      <c r="M60" s="18">
        <f t="shared" ref="M60:N60" si="65">abs(Q60)</f>
        <v>0</v>
      </c>
      <c r="N60" s="18">
        <f t="shared" si="65"/>
        <v>0</v>
      </c>
    </row>
    <row r="61">
      <c r="F61" s="1" t="s">
        <v>15</v>
      </c>
      <c r="G61" s="1">
        <v>4.343</v>
      </c>
      <c r="H61" s="1">
        <v>1.77068570534603E9</v>
      </c>
      <c r="I61" s="4">
        <f t="shared" si="66"/>
        <v>0.1996337719</v>
      </c>
      <c r="J61" s="1">
        <v>0.916437840058194</v>
      </c>
      <c r="M61" s="18">
        <f t="shared" ref="M61:N61" si="67">abs(Q61)</f>
        <v>0</v>
      </c>
      <c r="N61" s="18">
        <f t="shared" si="67"/>
        <v>0</v>
      </c>
    </row>
    <row r="62">
      <c r="F62" s="1" t="s">
        <v>17</v>
      </c>
      <c r="G62" s="1">
        <v>7.14</v>
      </c>
      <c r="H62" s="1">
        <v>1.7706857078605E9</v>
      </c>
      <c r="I62" s="4">
        <f t="shared" si="66"/>
        <v>-0.0828961277</v>
      </c>
      <c r="J62" s="1">
        <v>0.699786398186203</v>
      </c>
      <c r="M62" s="18">
        <f t="shared" ref="M62:N62" si="68">abs(Q62)</f>
        <v>0</v>
      </c>
      <c r="N62" s="18">
        <f t="shared" si="68"/>
        <v>0</v>
      </c>
    </row>
    <row r="63">
      <c r="M63" s="18">
        <f t="shared" ref="M63:N63" si="69">abs(Q63)</f>
        <v>0</v>
      </c>
      <c r="N63" s="18">
        <f t="shared" si="69"/>
        <v>0</v>
      </c>
    </row>
    <row r="64">
      <c r="M64" s="18">
        <f t="shared" ref="M64:N64" si="70">abs(Q64)</f>
        <v>0</v>
      </c>
      <c r="N64" s="18">
        <f t="shared" si="70"/>
        <v>0</v>
      </c>
    </row>
    <row r="65">
      <c r="M65" s="18">
        <f t="shared" ref="M65:N65" si="71">abs(Q65)</f>
        <v>0</v>
      </c>
      <c r="N65" s="18">
        <f t="shared" si="71"/>
        <v>0</v>
      </c>
    </row>
    <row r="66">
      <c r="M66" s="18">
        <f t="shared" ref="M66:N66" si="72">abs(Q66)</f>
        <v>0</v>
      </c>
      <c r="N66" s="18">
        <f t="shared" si="72"/>
        <v>0</v>
      </c>
    </row>
    <row r="67">
      <c r="M67" s="18">
        <f t="shared" ref="M67:N67" si="73">abs(Q67)</f>
        <v>0</v>
      </c>
      <c r="N67" s="18">
        <f t="shared" si="73"/>
        <v>0</v>
      </c>
    </row>
    <row r="68">
      <c r="M68" s="18">
        <f t="shared" ref="M68:N68" si="74">abs(Q68)</f>
        <v>0</v>
      </c>
      <c r="N68" s="18">
        <f t="shared" si="74"/>
        <v>0</v>
      </c>
    </row>
    <row r="69">
      <c r="M69" s="18">
        <f t="shared" ref="M69:N69" si="75">abs(Q69)</f>
        <v>0</v>
      </c>
      <c r="N69" s="18">
        <f t="shared" si="75"/>
        <v>0</v>
      </c>
    </row>
    <row r="70">
      <c r="M70" s="18">
        <f t="shared" ref="M70:N70" si="76">abs(Q70)</f>
        <v>0</v>
      </c>
      <c r="N70" s="18">
        <f t="shared" si="76"/>
        <v>0</v>
      </c>
    </row>
    <row r="71">
      <c r="M71" s="18">
        <f t="shared" ref="M71:N71" si="77">abs(Q71)</f>
        <v>0</v>
      </c>
      <c r="N71" s="18">
        <f t="shared" si="77"/>
        <v>0</v>
      </c>
    </row>
    <row r="72">
      <c r="L72" s="2" t="s">
        <v>16</v>
      </c>
      <c r="M72" s="19" t="str">
        <f t="shared" ref="M72:O72" si="78">average(M16:M71)</f>
        <v>#REF!</v>
      </c>
      <c r="N72" s="19" t="str">
        <f t="shared" si="78"/>
        <v>#REF!</v>
      </c>
      <c r="O72" s="19">
        <f t="shared" si="78"/>
        <v>0.5285442784</v>
      </c>
    </row>
    <row r="73">
      <c r="L73" s="2" t="s">
        <v>50</v>
      </c>
      <c r="M73" s="19" t="str">
        <f t="shared" ref="M73:O73" si="79">STDEV(M16:M71)</f>
        <v>#REF!</v>
      </c>
      <c r="N73" s="19" t="str">
        <f t="shared" si="79"/>
        <v>#REF!</v>
      </c>
      <c r="O73" s="19">
        <f t="shared" si="79"/>
        <v>0.6097834491</v>
      </c>
    </row>
    <row r="74">
      <c r="L74" s="1" t="s">
        <v>51</v>
      </c>
      <c r="M74" s="4" t="str">
        <f t="shared" ref="M74:O74" si="80">VAR(M16:M71)</f>
        <v>#REF!</v>
      </c>
      <c r="N74" s="4" t="str">
        <f t="shared" si="80"/>
        <v>#REF!</v>
      </c>
      <c r="O74" s="4">
        <f t="shared" si="80"/>
        <v>0.3718358548</v>
      </c>
    </row>
  </sheetData>
  <mergeCells count="2">
    <mergeCell ref="M4:N4"/>
    <mergeCell ref="M14:O14"/>
  </mergeCells>
  <dataValidations>
    <dataValidation type="list" allowBlank="1" showErrorMessage="1" sqref="F3:F62">
      <formula1>"Cardboard,Acrylic,Tile"</formula1>
    </dataValidation>
  </dataValidations>
  <hyperlinks>
    <hyperlink r:id="rId1" ref="K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6.5"/>
  </cols>
  <sheetData>
    <row r="1">
      <c r="H1" s="1" t="s">
        <v>52</v>
      </c>
      <c r="I1" s="1" t="s">
        <v>53</v>
      </c>
    </row>
    <row r="2">
      <c r="C2" s="1" t="s">
        <v>54</v>
      </c>
      <c r="I2" s="1" t="s">
        <v>55</v>
      </c>
    </row>
    <row r="3">
      <c r="C3" s="1" t="s">
        <v>56</v>
      </c>
      <c r="I3" s="1" t="s">
        <v>57</v>
      </c>
    </row>
    <row r="4">
      <c r="C4" s="1" t="s">
        <v>58</v>
      </c>
      <c r="I4" s="1" t="s">
        <v>59</v>
      </c>
    </row>
    <row r="5">
      <c r="C5" s="1" t="s">
        <v>60</v>
      </c>
      <c r="I5" s="1" t="s">
        <v>61</v>
      </c>
    </row>
    <row r="6">
      <c r="C6" s="1" t="s">
        <v>62</v>
      </c>
      <c r="I6" s="1" t="s">
        <v>63</v>
      </c>
    </row>
    <row r="7">
      <c r="C7" s="1" t="s">
        <v>64</v>
      </c>
      <c r="I7" s="1" t="s">
        <v>65</v>
      </c>
    </row>
    <row r="8">
      <c r="A8" s="1" t="s">
        <v>66</v>
      </c>
      <c r="C8" s="1" t="s">
        <v>67</v>
      </c>
      <c r="I8" s="1" t="s">
        <v>68</v>
      </c>
    </row>
    <row r="9">
      <c r="A9" s="1" t="s">
        <v>69</v>
      </c>
      <c r="C9" s="1" t="s">
        <v>70</v>
      </c>
      <c r="I9" s="1" t="s">
        <v>71</v>
      </c>
    </row>
    <row r="10">
      <c r="C10" s="1" t="s">
        <v>72</v>
      </c>
      <c r="I10" s="1" t="s">
        <v>73</v>
      </c>
    </row>
    <row r="11">
      <c r="A11" s="1">
        <v>0.961</v>
      </c>
      <c r="I11" s="1" t="s">
        <v>74</v>
      </c>
    </row>
    <row r="12">
      <c r="I12" s="1" t="s">
        <v>75</v>
      </c>
    </row>
    <row r="13">
      <c r="A13" s="1" t="s">
        <v>76</v>
      </c>
      <c r="I13" s="1" t="s">
        <v>77</v>
      </c>
    </row>
    <row r="14">
      <c r="I14" s="1" t="s">
        <v>78</v>
      </c>
    </row>
    <row r="15">
      <c r="A15" s="1">
        <v>1.0</v>
      </c>
      <c r="I15" s="1" t="s">
        <v>79</v>
      </c>
    </row>
    <row r="16">
      <c r="I16" s="1" t="s">
        <v>80</v>
      </c>
    </row>
    <row r="17">
      <c r="A17" s="1" t="s">
        <v>81</v>
      </c>
      <c r="I17" s="1" t="s">
        <v>82</v>
      </c>
    </row>
    <row r="18">
      <c r="I18" s="1" t="s">
        <v>83</v>
      </c>
    </row>
    <row r="19">
      <c r="A19" s="1">
        <v>0.9801</v>
      </c>
      <c r="I19" s="1" t="s">
        <v>84</v>
      </c>
    </row>
    <row r="20">
      <c r="I20" s="1" t="s">
        <v>85</v>
      </c>
    </row>
    <row r="21">
      <c r="I21" s="1" t="s">
        <v>86</v>
      </c>
    </row>
    <row r="22">
      <c r="I22" s="1" t="s">
        <v>87</v>
      </c>
    </row>
    <row r="23">
      <c r="I23" s="1" t="s">
        <v>88</v>
      </c>
    </row>
    <row r="24">
      <c r="A24" s="1" t="s">
        <v>89</v>
      </c>
      <c r="I24" s="1" t="s">
        <v>90</v>
      </c>
    </row>
    <row r="25">
      <c r="A25" s="1" t="s">
        <v>17</v>
      </c>
      <c r="B25" s="1" t="s">
        <v>91</v>
      </c>
      <c r="I25" s="1" t="s">
        <v>92</v>
      </c>
    </row>
    <row r="26">
      <c r="A26" s="1" t="s">
        <v>14</v>
      </c>
      <c r="B26" s="1" t="s">
        <v>93</v>
      </c>
      <c r="I26" s="1" t="s">
        <v>94</v>
      </c>
    </row>
    <row r="27">
      <c r="A27" s="1" t="s">
        <v>15</v>
      </c>
      <c r="B27" s="1" t="s">
        <v>95</v>
      </c>
      <c r="I27" s="1" t="s">
        <v>96</v>
      </c>
    </row>
    <row r="28">
      <c r="I28" s="1" t="s">
        <v>97</v>
      </c>
    </row>
    <row r="29">
      <c r="I29" s="1" t="s">
        <v>98</v>
      </c>
    </row>
    <row r="30">
      <c r="I30" s="1" t="s">
        <v>99</v>
      </c>
    </row>
    <row r="31">
      <c r="I31" s="1" t="s">
        <v>100</v>
      </c>
    </row>
    <row r="32">
      <c r="I32" s="1" t="s">
        <v>101</v>
      </c>
    </row>
    <row r="33">
      <c r="I33" s="1" t="s">
        <v>102</v>
      </c>
    </row>
    <row r="34">
      <c r="I34" s="1" t="s">
        <v>103</v>
      </c>
    </row>
    <row r="35">
      <c r="I35" s="1" t="s">
        <v>104</v>
      </c>
    </row>
    <row r="36">
      <c r="I36" s="1" t="s">
        <v>105</v>
      </c>
    </row>
    <row r="37">
      <c r="I37" s="1" t="s">
        <v>106</v>
      </c>
    </row>
    <row r="38">
      <c r="I38" s="1" t="s">
        <v>107</v>
      </c>
    </row>
    <row r="39">
      <c r="I39" s="1" t="s">
        <v>108</v>
      </c>
    </row>
    <row r="40">
      <c r="I40" s="1" t="s">
        <v>109</v>
      </c>
    </row>
    <row r="41">
      <c r="I41" s="1" t="s">
        <v>110</v>
      </c>
    </row>
    <row r="42">
      <c r="I42" s="1" t="s">
        <v>111</v>
      </c>
    </row>
    <row r="43">
      <c r="I43" s="1" t="s">
        <v>112</v>
      </c>
    </row>
    <row r="44">
      <c r="I44" s="1" t="s">
        <v>113</v>
      </c>
    </row>
    <row r="45">
      <c r="I45" s="1" t="s">
        <v>114</v>
      </c>
    </row>
    <row r="46">
      <c r="I46" s="1" t="s">
        <v>115</v>
      </c>
    </row>
    <row r="47">
      <c r="I47" s="1" t="s">
        <v>116</v>
      </c>
    </row>
    <row r="48">
      <c r="I48" s="1" t="s">
        <v>117</v>
      </c>
    </row>
    <row r="49">
      <c r="I49" s="1" t="s">
        <v>118</v>
      </c>
    </row>
    <row r="50">
      <c r="I50" s="1" t="s">
        <v>119</v>
      </c>
    </row>
    <row r="51">
      <c r="I51" s="1" t="s">
        <v>120</v>
      </c>
    </row>
    <row r="52">
      <c r="I52" s="1" t="s">
        <v>121</v>
      </c>
    </row>
    <row r="53">
      <c r="I53" s="1" t="s">
        <v>122</v>
      </c>
    </row>
    <row r="54">
      <c r="I54" s="1" t="s">
        <v>123</v>
      </c>
    </row>
    <row r="55">
      <c r="I55" s="1" t="s">
        <v>124</v>
      </c>
    </row>
    <row r="56">
      <c r="I56" s="1" t="s">
        <v>125</v>
      </c>
    </row>
    <row r="57">
      <c r="I57" s="1" t="s">
        <v>126</v>
      </c>
    </row>
    <row r="58">
      <c r="I58" s="1" t="s">
        <v>127</v>
      </c>
    </row>
    <row r="60">
      <c r="I60" s="1" t="s">
        <v>128</v>
      </c>
    </row>
    <row r="61">
      <c r="I61" s="1" t="s">
        <v>129</v>
      </c>
    </row>
    <row r="62">
      <c r="I62" s="1" t="s">
        <v>130</v>
      </c>
    </row>
    <row r="63">
      <c r="I63" s="1" t="s">
        <v>131</v>
      </c>
    </row>
    <row r="64">
      <c r="I64" s="1" t="s">
        <v>132</v>
      </c>
    </row>
    <row r="65">
      <c r="I65" s="1" t="s">
        <v>133</v>
      </c>
    </row>
    <row r="66">
      <c r="I66" s="1" t="s">
        <v>134</v>
      </c>
    </row>
    <row r="67">
      <c r="I67" s="1" t="s">
        <v>135</v>
      </c>
    </row>
    <row r="68">
      <c r="I68" s="1" t="s">
        <v>136</v>
      </c>
    </row>
    <row r="69">
      <c r="I69" s="1" t="s">
        <v>137</v>
      </c>
    </row>
    <row r="70">
      <c r="I70" s="1" t="s">
        <v>138</v>
      </c>
    </row>
    <row r="71">
      <c r="I71" s="1" t="s">
        <v>139</v>
      </c>
    </row>
    <row r="72">
      <c r="I72" s="1" t="s">
        <v>140</v>
      </c>
    </row>
    <row r="73">
      <c r="I73" s="1" t="s">
        <v>141</v>
      </c>
    </row>
    <row r="74">
      <c r="I74" s="1" t="s">
        <v>142</v>
      </c>
    </row>
    <row r="75">
      <c r="I75" s="1" t="s">
        <v>143</v>
      </c>
    </row>
    <row r="76">
      <c r="I76" s="1" t="s">
        <v>144</v>
      </c>
    </row>
    <row r="77">
      <c r="I77" s="1" t="s">
        <v>145</v>
      </c>
    </row>
    <row r="78">
      <c r="I78" s="1" t="s">
        <v>146</v>
      </c>
    </row>
    <row r="79">
      <c r="I79" s="1" t="s">
        <v>147</v>
      </c>
    </row>
    <row r="80">
      <c r="I80" s="1" t="s">
        <v>148</v>
      </c>
    </row>
    <row r="81">
      <c r="I81" s="1" t="s">
        <v>149</v>
      </c>
    </row>
    <row r="82">
      <c r="I82" s="1" t="s">
        <v>150</v>
      </c>
    </row>
    <row r="83">
      <c r="I83" s="1" t="s">
        <v>151</v>
      </c>
    </row>
    <row r="84">
      <c r="I84" s="1" t="s">
        <v>152</v>
      </c>
    </row>
    <row r="85">
      <c r="I85" s="1" t="s">
        <v>153</v>
      </c>
    </row>
    <row r="86">
      <c r="I86" s="1" t="s">
        <v>154</v>
      </c>
    </row>
    <row r="87">
      <c r="I87" s="1" t="s">
        <v>155</v>
      </c>
    </row>
    <row r="88">
      <c r="I88" s="1" t="s">
        <v>156</v>
      </c>
    </row>
    <row r="89">
      <c r="I89" s="1" t="s">
        <v>157</v>
      </c>
    </row>
    <row r="90">
      <c r="I90" s="1" t="s">
        <v>158</v>
      </c>
    </row>
    <row r="91">
      <c r="I91" s="1" t="s">
        <v>159</v>
      </c>
    </row>
    <row r="92">
      <c r="I92" s="1" t="s">
        <v>160</v>
      </c>
    </row>
    <row r="93">
      <c r="I93" s="1" t="s">
        <v>161</v>
      </c>
    </row>
    <row r="94">
      <c r="I94" s="1" t="s">
        <v>162</v>
      </c>
    </row>
    <row r="95">
      <c r="I95" s="1" t="s">
        <v>163</v>
      </c>
    </row>
    <row r="96">
      <c r="I96" s="1" t="s">
        <v>164</v>
      </c>
    </row>
    <row r="97">
      <c r="I97" s="1" t="s">
        <v>165</v>
      </c>
    </row>
    <row r="98">
      <c r="I98" s="1" t="s">
        <v>166</v>
      </c>
    </row>
    <row r="99">
      <c r="I99" s="1" t="s">
        <v>167</v>
      </c>
    </row>
    <row r="100">
      <c r="I100" s="1" t="s">
        <v>168</v>
      </c>
    </row>
    <row r="101">
      <c r="I101" s="1" t="s">
        <v>169</v>
      </c>
    </row>
    <row r="102">
      <c r="I102" s="1" t="s">
        <v>170</v>
      </c>
    </row>
    <row r="103">
      <c r="I103" s="1" t="s">
        <v>171</v>
      </c>
    </row>
    <row r="104">
      <c r="I104" s="1" t="s">
        <v>172</v>
      </c>
    </row>
    <row r="105">
      <c r="I105" s="1" t="s">
        <v>173</v>
      </c>
    </row>
    <row r="106">
      <c r="I106" s="1" t="s">
        <v>174</v>
      </c>
    </row>
    <row r="107">
      <c r="I107" s="1" t="s">
        <v>175</v>
      </c>
    </row>
    <row r="108">
      <c r="I108" s="1" t="s">
        <v>176</v>
      </c>
    </row>
    <row r="109">
      <c r="I109" s="1" t="s">
        <v>177</v>
      </c>
    </row>
    <row r="110">
      <c r="I110" s="1" t="s">
        <v>178</v>
      </c>
    </row>
    <row r="111">
      <c r="I111" s="1" t="s">
        <v>179</v>
      </c>
    </row>
    <row r="112">
      <c r="I112" s="1" t="s">
        <v>180</v>
      </c>
    </row>
    <row r="113">
      <c r="I113" s="1" t="s">
        <v>181</v>
      </c>
    </row>
    <row r="114">
      <c r="I114" s="1" t="s">
        <v>182</v>
      </c>
    </row>
    <row r="115">
      <c r="I115" s="1" t="s">
        <v>183</v>
      </c>
    </row>
    <row r="116">
      <c r="I116" s="1" t="s">
        <v>184</v>
      </c>
    </row>
    <row r="117">
      <c r="I117" s="1" t="s">
        <v>127</v>
      </c>
    </row>
    <row r="119">
      <c r="I119" s="1" t="s">
        <v>185</v>
      </c>
    </row>
    <row r="120">
      <c r="I120" s="1" t="s">
        <v>186</v>
      </c>
    </row>
    <row r="121">
      <c r="I121" s="1" t="s">
        <v>187</v>
      </c>
    </row>
    <row r="122">
      <c r="I122" s="1" t="s">
        <v>188</v>
      </c>
    </row>
    <row r="123">
      <c r="I123" s="1" t="s">
        <v>189</v>
      </c>
    </row>
    <row r="124">
      <c r="I124" s="1" t="s">
        <v>190</v>
      </c>
    </row>
    <row r="125">
      <c r="I125" s="1" t="s">
        <v>191</v>
      </c>
    </row>
    <row r="126">
      <c r="I126" s="1" t="s">
        <v>192</v>
      </c>
    </row>
    <row r="127">
      <c r="I127" s="1" t="s">
        <v>193</v>
      </c>
    </row>
    <row r="128">
      <c r="I128" s="1" t="s">
        <v>194</v>
      </c>
    </row>
    <row r="129">
      <c r="I129" s="1" t="s">
        <v>195</v>
      </c>
    </row>
    <row r="130">
      <c r="I130" s="1" t="s">
        <v>196</v>
      </c>
    </row>
    <row r="131">
      <c r="I131" s="1" t="s">
        <v>197</v>
      </c>
    </row>
    <row r="132">
      <c r="I132" s="1" t="s">
        <v>198</v>
      </c>
    </row>
    <row r="133">
      <c r="I133" s="1" t="s">
        <v>199</v>
      </c>
    </row>
    <row r="134">
      <c r="I134" s="1" t="s">
        <v>200</v>
      </c>
    </row>
    <row r="135">
      <c r="I135" s="1" t="s">
        <v>201</v>
      </c>
    </row>
    <row r="136">
      <c r="I136" s="1" t="s">
        <v>202</v>
      </c>
    </row>
    <row r="137">
      <c r="I137" s="1" t="s">
        <v>203</v>
      </c>
    </row>
    <row r="138">
      <c r="I138" s="1" t="s">
        <v>204</v>
      </c>
    </row>
    <row r="139">
      <c r="I139" s="1" t="s">
        <v>205</v>
      </c>
    </row>
    <row r="140">
      <c r="I140" s="1" t="s">
        <v>206</v>
      </c>
    </row>
    <row r="141">
      <c r="I141" s="1" t="s">
        <v>207</v>
      </c>
    </row>
    <row r="142">
      <c r="I142" s="1" t="s">
        <v>208</v>
      </c>
    </row>
    <row r="143">
      <c r="I143" s="1" t="s">
        <v>209</v>
      </c>
    </row>
    <row r="144">
      <c r="I144" s="1" t="s">
        <v>210</v>
      </c>
    </row>
    <row r="145">
      <c r="I145" s="1" t="s">
        <v>211</v>
      </c>
    </row>
    <row r="146">
      <c r="I146" s="1" t="s">
        <v>212</v>
      </c>
    </row>
    <row r="147">
      <c r="I147" s="1" t="s">
        <v>213</v>
      </c>
    </row>
    <row r="148">
      <c r="I148" s="1" t="s">
        <v>214</v>
      </c>
    </row>
    <row r="149">
      <c r="I149" s="1" t="s">
        <v>215</v>
      </c>
    </row>
    <row r="150">
      <c r="I150" s="1" t="s">
        <v>216</v>
      </c>
    </row>
    <row r="151">
      <c r="I151" s="1" t="s">
        <v>217</v>
      </c>
    </row>
    <row r="152">
      <c r="I152" s="1" t="s">
        <v>218</v>
      </c>
    </row>
    <row r="153">
      <c r="I153" s="1" t="s">
        <v>219</v>
      </c>
    </row>
    <row r="154">
      <c r="I154" s="1" t="s">
        <v>220</v>
      </c>
    </row>
    <row r="155">
      <c r="I155" s="1" t="s">
        <v>221</v>
      </c>
    </row>
    <row r="156">
      <c r="I156" s="1" t="s">
        <v>127</v>
      </c>
    </row>
    <row r="158">
      <c r="I158" s="1" t="s">
        <v>222</v>
      </c>
    </row>
    <row r="159">
      <c r="I159" s="1" t="s">
        <v>223</v>
      </c>
    </row>
    <row r="160">
      <c r="I160" s="1" t="s">
        <v>224</v>
      </c>
    </row>
    <row r="162">
      <c r="I162" s="1" t="s">
        <v>225</v>
      </c>
    </row>
    <row r="164">
      <c r="I164" s="1" t="s">
        <v>226</v>
      </c>
    </row>
    <row r="165">
      <c r="I165" s="1" t="s">
        <v>227</v>
      </c>
    </row>
    <row r="167">
      <c r="I167" s="1" t="s">
        <v>228</v>
      </c>
    </row>
    <row r="168">
      <c r="I168" s="1" t="s">
        <v>229</v>
      </c>
    </row>
    <row r="170">
      <c r="I170" s="1" t="s">
        <v>230</v>
      </c>
    </row>
    <row r="171">
      <c r="I171" s="1" t="s">
        <v>231</v>
      </c>
    </row>
    <row r="172">
      <c r="I172" s="1" t="s">
        <v>232</v>
      </c>
    </row>
    <row r="174">
      <c r="I174" s="1" t="s">
        <v>233</v>
      </c>
    </row>
    <row r="175">
      <c r="I175" s="1" t="s">
        <v>234</v>
      </c>
    </row>
    <row r="176">
      <c r="I176" s="1" t="s">
        <v>235</v>
      </c>
    </row>
    <row r="178">
      <c r="I178" s="1" t="s">
        <v>236</v>
      </c>
    </row>
    <row r="179">
      <c r="I179" s="1" t="s">
        <v>237</v>
      </c>
    </row>
    <row r="180">
      <c r="I180" s="1" t="s">
        <v>238</v>
      </c>
    </row>
    <row r="182">
      <c r="I182" s="1" t="s">
        <v>239</v>
      </c>
    </row>
    <row r="183">
      <c r="I183" s="1" t="s">
        <v>240</v>
      </c>
    </row>
    <row r="185">
      <c r="I185" s="1" t="s">
        <v>241</v>
      </c>
    </row>
    <row r="186">
      <c r="I186" s="1" t="s">
        <v>242</v>
      </c>
    </row>
    <row r="188">
      <c r="I188" s="1" t="s">
        <v>243</v>
      </c>
    </row>
    <row r="189">
      <c r="I189" s="1" t="s">
        <v>244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5"/>
    <col customWidth="1" min="3" max="3" width="16.13"/>
    <col customWidth="1" min="4" max="4" width="17.75"/>
    <col customWidth="1" min="5" max="5" width="13.63"/>
    <col customWidth="1" min="11" max="11" width="20.13"/>
  </cols>
  <sheetData>
    <row r="1">
      <c r="L1" s="1" t="s">
        <v>1</v>
      </c>
    </row>
    <row r="2">
      <c r="A2" s="2" t="s">
        <v>2</v>
      </c>
      <c r="B2" s="2" t="s">
        <v>3</v>
      </c>
      <c r="C2" s="2" t="s">
        <v>4</v>
      </c>
      <c r="D2" s="2" t="s">
        <v>5</v>
      </c>
      <c r="E2" s="1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245</v>
      </c>
      <c r="L2" s="3" t="s">
        <v>246</v>
      </c>
    </row>
    <row r="3">
      <c r="A3" s="1" t="s">
        <v>13</v>
      </c>
      <c r="B3" s="1">
        <v>2.333</v>
      </c>
      <c r="C3" s="1">
        <v>1.770760644E9</v>
      </c>
      <c r="D3" s="1">
        <v>9.62366108E8</v>
      </c>
      <c r="E3" s="4">
        <f>(C3+(D3/1000000000) - B3)</f>
        <v>1770760643</v>
      </c>
      <c r="F3" s="1" t="s">
        <v>17</v>
      </c>
      <c r="G3" s="1">
        <v>4.863</v>
      </c>
      <c r="H3" s="1">
        <v>1.77076064738949E9</v>
      </c>
      <c r="I3" s="4">
        <f t="shared" ref="I3:I5" si="1">(H3-$E$3)-G3</f>
        <v>-0.1028762703</v>
      </c>
      <c r="J3" s="1">
        <v>0.6918024201</v>
      </c>
      <c r="K3" s="1">
        <v>0.69180242013695</v>
      </c>
    </row>
    <row r="4">
      <c r="F4" s="1" t="s">
        <v>14</v>
      </c>
      <c r="G4" s="1">
        <v>9.996</v>
      </c>
      <c r="H4" s="1">
        <v>1.77076065366552E9</v>
      </c>
      <c r="I4" s="4">
        <f t="shared" si="1"/>
        <v>1.040153793</v>
      </c>
      <c r="J4" s="1">
        <v>0.9907632305</v>
      </c>
      <c r="K4" s="1">
        <v>0.990763230536271</v>
      </c>
      <c r="N4" s="20" t="s">
        <v>16</v>
      </c>
      <c r="O4" s="21"/>
    </row>
    <row r="5">
      <c r="F5" s="1" t="s">
        <v>15</v>
      </c>
      <c r="G5" s="1">
        <v>13.051</v>
      </c>
      <c r="H5" s="1">
        <v>1.77076065674963E9</v>
      </c>
      <c r="I5" s="4">
        <f t="shared" si="1"/>
        <v>1.069263815</v>
      </c>
      <c r="J5" s="1">
        <v>0.82483737</v>
      </c>
      <c r="K5" s="1">
        <v>0.824837370029113</v>
      </c>
      <c r="N5" s="7" t="str">
        <f t="array" ref="N5:N8">UNIQUE(F3:F1000)</f>
        <v>Tile</v>
      </c>
      <c r="O5" s="8">
        <f t="shared" ref="O5:O7" si="2">AVERAGEIF($F$3:$F1000, N5, $J$3:$J1000)</f>
        <v>0.6865247176</v>
      </c>
    </row>
    <row r="6">
      <c r="A6" s="1" t="s">
        <v>18</v>
      </c>
      <c r="B6" s="1">
        <v>1.33</v>
      </c>
      <c r="C6" s="1">
        <v>1.770760671E9</v>
      </c>
      <c r="D6" s="1">
        <v>9.96420022E8</v>
      </c>
      <c r="E6" s="4">
        <f>(C6+(D6/1000000000) - B6)</f>
        <v>1770760671</v>
      </c>
      <c r="F6" s="1" t="s">
        <v>17</v>
      </c>
      <c r="G6" s="1">
        <v>3.84</v>
      </c>
      <c r="H6" s="1">
        <v>1.7707606743858E9</v>
      </c>
      <c r="I6" s="4">
        <f t="shared" ref="I6:I8" si="3">(H6-$E$6)-G6</f>
        <v>-0.1206200981</v>
      </c>
      <c r="J6" s="1">
        <v>0.6935956635</v>
      </c>
      <c r="K6" s="1">
        <v>0.693595663461148</v>
      </c>
      <c r="N6" s="9" t="s">
        <v>14</v>
      </c>
      <c r="O6" s="10">
        <f t="shared" si="2"/>
        <v>0.9673150149</v>
      </c>
    </row>
    <row r="7">
      <c r="F7" s="1" t="s">
        <v>14</v>
      </c>
      <c r="G7" s="1">
        <v>8.878</v>
      </c>
      <c r="H7" s="1">
        <v>1.77076067967062E9</v>
      </c>
      <c r="I7" s="4">
        <f t="shared" si="3"/>
        <v>0.1261999817</v>
      </c>
      <c r="J7" s="1">
        <v>1.0573650168</v>
      </c>
      <c r="K7" s="1">
        <v>0.980662222056752</v>
      </c>
      <c r="N7" s="9" t="s">
        <v>15</v>
      </c>
      <c r="O7" s="10">
        <f t="shared" si="2"/>
        <v>0.8471073594</v>
      </c>
    </row>
    <row r="8">
      <c r="F8" s="1" t="s">
        <v>15</v>
      </c>
      <c r="G8" s="1">
        <v>13.131</v>
      </c>
      <c r="H8" s="1">
        <v>1.7707606841107E9</v>
      </c>
      <c r="I8" s="4">
        <f t="shared" si="3"/>
        <v>0.3132799091</v>
      </c>
      <c r="J8" s="1">
        <v>0.9511330905</v>
      </c>
      <c r="K8" s="1">
        <v>0.951133090540668</v>
      </c>
      <c r="N8" s="9"/>
      <c r="O8" s="10"/>
    </row>
    <row r="9">
      <c r="A9" s="1" t="s">
        <v>19</v>
      </c>
      <c r="B9" s="1">
        <v>2.532</v>
      </c>
      <c r="C9" s="1">
        <v>1.770760698E9</v>
      </c>
      <c r="D9" s="1">
        <v>3.81173156E8</v>
      </c>
      <c r="E9" s="4">
        <f>(C9+(D9/1000000000) - B9)</f>
        <v>1770760696</v>
      </c>
      <c r="F9" s="1" t="s">
        <v>17</v>
      </c>
      <c r="G9" s="1">
        <v>3.923</v>
      </c>
      <c r="H9" s="1">
        <v>1.77076069953157E9</v>
      </c>
      <c r="I9" s="4">
        <f t="shared" ref="I9:I11" si="4">(H9-$E$9)-G9</f>
        <v>-0.2406031113</v>
      </c>
      <c r="J9" s="1">
        <v>0.6652188953</v>
      </c>
      <c r="K9" s="1">
        <v>0.665218895301135</v>
      </c>
      <c r="N9" s="12" t="s">
        <v>20</v>
      </c>
      <c r="O9" s="13">
        <f>average(I3:I50)</f>
        <v>0.04394583245</v>
      </c>
    </row>
    <row r="10">
      <c r="F10" s="1" t="s">
        <v>14</v>
      </c>
      <c r="G10" s="1">
        <v>10.104</v>
      </c>
      <c r="H10" s="1">
        <v>1.77076070601151E9</v>
      </c>
      <c r="I10" s="4">
        <f t="shared" si="4"/>
        <v>0.05833682632</v>
      </c>
      <c r="J10" s="1">
        <v>0.9292311212</v>
      </c>
      <c r="K10" s="1">
        <v>0.929231121245329</v>
      </c>
    </row>
    <row r="11">
      <c r="F11" s="1" t="s">
        <v>15</v>
      </c>
      <c r="G11" s="1">
        <v>12.23</v>
      </c>
      <c r="H11" s="1">
        <v>1.77076070849159E9</v>
      </c>
      <c r="I11" s="4">
        <f t="shared" si="4"/>
        <v>0.412416954</v>
      </c>
      <c r="J11" s="1">
        <v>0.9478648152</v>
      </c>
      <c r="K11" s="1">
        <v>0.947864815173867</v>
      </c>
    </row>
    <row r="12">
      <c r="A12" s="1" t="s">
        <v>22</v>
      </c>
      <c r="B12" s="1">
        <v>1.376</v>
      </c>
      <c r="C12" s="1">
        <v>1.77076072E9</v>
      </c>
      <c r="D12" s="1">
        <v>9.75157819E8</v>
      </c>
      <c r="E12" s="4">
        <f>(C12+(D12/1000000000) - B12)</f>
        <v>1770760720</v>
      </c>
      <c r="F12" s="1" t="s">
        <v>17</v>
      </c>
      <c r="G12" s="1">
        <v>3.501</v>
      </c>
      <c r="H12" s="1">
        <v>1.77076072329252E9</v>
      </c>
      <c r="I12" s="4">
        <f t="shared" ref="I12:I14" si="5">(H12-$E$12)-G12</f>
        <v>0.192362236</v>
      </c>
      <c r="J12" s="1">
        <v>0.6785552684</v>
      </c>
      <c r="K12" s="1">
        <v>0.678555268433458</v>
      </c>
    </row>
    <row r="13">
      <c r="F13" s="1" t="s">
        <v>14</v>
      </c>
      <c r="G13" s="1">
        <v>9.336</v>
      </c>
      <c r="H13" s="1">
        <v>1.77076072901257E9</v>
      </c>
      <c r="I13" s="4">
        <f t="shared" si="5"/>
        <v>0.07741209412</v>
      </c>
      <c r="J13" s="1">
        <v>0.8446965494</v>
      </c>
      <c r="K13" s="1">
        <v>0.844696549438341</v>
      </c>
    </row>
    <row r="14">
      <c r="F14" s="1" t="s">
        <v>15</v>
      </c>
      <c r="G14" s="1">
        <v>11.973</v>
      </c>
      <c r="H14" s="1">
        <v>1.77076073185228E9</v>
      </c>
      <c r="I14" s="4">
        <f t="shared" si="5"/>
        <v>0.2801220913</v>
      </c>
      <c r="J14" s="1">
        <v>0.7181710076</v>
      </c>
      <c r="K14" s="1">
        <v>0.718171007567731</v>
      </c>
    </row>
    <row r="15">
      <c r="A15" s="1" t="s">
        <v>26</v>
      </c>
      <c r="B15" s="1">
        <v>1.466</v>
      </c>
      <c r="C15" s="1">
        <v>1.770760745E9</v>
      </c>
      <c r="D15" s="1">
        <v>9.39020467E8</v>
      </c>
      <c r="E15" s="4">
        <f>(C15+(D15/1000000000) - B15)</f>
        <v>1770760744</v>
      </c>
      <c r="F15" s="1" t="s">
        <v>17</v>
      </c>
      <c r="G15" s="1">
        <v>3.421</v>
      </c>
      <c r="H15" s="1">
        <v>1.77076074779403E9</v>
      </c>
      <c r="I15" s="4">
        <f t="shared" ref="I15:I17" si="6">(H15-$E$15)-G15</f>
        <v>-0.09999036407</v>
      </c>
      <c r="J15" s="1">
        <v>0.7404798108</v>
      </c>
      <c r="K15" s="1">
        <v>0.740479810752771</v>
      </c>
    </row>
    <row r="16">
      <c r="F16" s="1" t="s">
        <v>14</v>
      </c>
      <c r="G16" s="1">
        <v>8.645</v>
      </c>
      <c r="H16" s="1">
        <v>1.77076075287306E9</v>
      </c>
      <c r="I16" s="4">
        <f t="shared" si="6"/>
        <v>-0.2449603271</v>
      </c>
      <c r="J16" s="1">
        <v>1.0419580617</v>
      </c>
      <c r="K16" s="1">
        <v>1.04195806173575</v>
      </c>
    </row>
    <row r="17">
      <c r="F17" s="1" t="s">
        <v>15</v>
      </c>
      <c r="G17" s="1">
        <v>10.48</v>
      </c>
      <c r="H17" s="1">
        <v>1.77076075503312E9</v>
      </c>
      <c r="I17" s="4">
        <f t="shared" si="6"/>
        <v>0.08009960175</v>
      </c>
      <c r="J17" s="1">
        <v>0.6789101833</v>
      </c>
      <c r="K17" s="1">
        <v>0.678910183309104</v>
      </c>
    </row>
    <row r="18">
      <c r="A18" s="1" t="s">
        <v>32</v>
      </c>
      <c r="B18" s="1">
        <v>2.669</v>
      </c>
      <c r="C18" s="1">
        <v>1.770760807E9</v>
      </c>
      <c r="D18" s="1">
        <v>9.18555805E8</v>
      </c>
      <c r="E18" s="4">
        <f>(C18+(D18/1000000000) - B18)</f>
        <v>1770760805</v>
      </c>
      <c r="F18" s="1" t="s">
        <v>17</v>
      </c>
      <c r="G18" s="1">
        <v>4.32</v>
      </c>
      <c r="H18" s="1">
        <v>1.77076081011548E9</v>
      </c>
      <c r="I18" s="4">
        <f t="shared" ref="I18:I20" si="7">(H18-$E$18)-G18</f>
        <v>0.5459241199</v>
      </c>
      <c r="J18" s="1">
        <v>0.722388690672348</v>
      </c>
      <c r="K18" s="1">
        <v>0.722388690672348</v>
      </c>
    </row>
    <row r="19">
      <c r="F19" s="1" t="s">
        <v>14</v>
      </c>
      <c r="G19" s="1">
        <v>10.631</v>
      </c>
      <c r="H19" s="1">
        <v>1.77076081645007E9</v>
      </c>
      <c r="I19" s="4">
        <f t="shared" si="7"/>
        <v>0.5695140781</v>
      </c>
      <c r="J19" s="1">
        <v>0.875038589623464</v>
      </c>
      <c r="K19" s="1">
        <v>0.875038589623464</v>
      </c>
    </row>
    <row r="20">
      <c r="F20" s="1" t="s">
        <v>15</v>
      </c>
      <c r="G20" s="1">
        <v>13.603</v>
      </c>
      <c r="H20" s="1">
        <v>1.77076081966998E9</v>
      </c>
      <c r="I20" s="4">
        <f t="shared" si="7"/>
        <v>0.8174242229</v>
      </c>
      <c r="J20" s="1">
        <v>1.39046467117004</v>
      </c>
      <c r="K20" s="1">
        <v>1.39046467117004</v>
      </c>
    </row>
    <row r="21">
      <c r="A21" s="1" t="s">
        <v>33</v>
      </c>
      <c r="B21" s="1">
        <v>3.472</v>
      </c>
      <c r="C21" s="1">
        <v>1.770760881E9</v>
      </c>
      <c r="D21" s="1">
        <v>1.23752788E8</v>
      </c>
      <c r="E21" s="4">
        <f>(C21+(D21/1000000000) - B21)</f>
        <v>1770760878</v>
      </c>
      <c r="F21" s="1" t="s">
        <v>17</v>
      </c>
      <c r="G21" s="1">
        <v>4.981</v>
      </c>
      <c r="H21" s="1">
        <v>1.77076088315809E9</v>
      </c>
      <c r="I21" s="4">
        <f t="shared" ref="I21:I23" si="8">(H21-$E$21)-G21</f>
        <v>0.5253371658</v>
      </c>
      <c r="J21" s="1">
        <v>0.6938557598</v>
      </c>
      <c r="K21" s="1">
        <v>0.693855759835214</v>
      </c>
    </row>
    <row r="22">
      <c r="F22" s="1" t="s">
        <v>14</v>
      </c>
      <c r="G22" s="1">
        <v>11.369</v>
      </c>
      <c r="H22" s="1">
        <v>1.77076088971721E9</v>
      </c>
      <c r="I22" s="4">
        <f t="shared" si="8"/>
        <v>0.6964571056</v>
      </c>
      <c r="J22" s="1">
        <v>0.8980291949</v>
      </c>
      <c r="K22" s="1">
        <v>0.898029194934082</v>
      </c>
    </row>
    <row r="23">
      <c r="F23" s="1" t="s">
        <v>15</v>
      </c>
      <c r="G23" s="1">
        <v>14.89</v>
      </c>
      <c r="H23" s="1">
        <v>1.77076089295656E9</v>
      </c>
      <c r="I23" s="4">
        <f t="shared" si="8"/>
        <v>0.4148069477</v>
      </c>
      <c r="J23" s="1">
        <v>0.7200478942</v>
      </c>
      <c r="K23" s="1">
        <v>0.720047894163972</v>
      </c>
    </row>
    <row r="24">
      <c r="A24" s="1" t="s">
        <v>34</v>
      </c>
      <c r="B24" s="1">
        <v>2.799</v>
      </c>
      <c r="C24" s="1">
        <v>1.770760919E9</v>
      </c>
      <c r="D24" s="1">
        <v>1.37523462E8</v>
      </c>
      <c r="E24" s="4">
        <f>(C24+(D24/1000000000) - B24)</f>
        <v>1770760916</v>
      </c>
      <c r="F24" s="1" t="s">
        <v>17</v>
      </c>
      <c r="G24" s="1">
        <v>5.342</v>
      </c>
      <c r="H24" s="1">
        <v>1.770760921737E9</v>
      </c>
      <c r="I24" s="4">
        <f t="shared" ref="I24:I26" si="9">(H24-$E$24)-G24</f>
        <v>0.05647660065</v>
      </c>
      <c r="J24" s="1">
        <v>0.6759991876</v>
      </c>
      <c r="K24" s="1">
        <v>0.6759991876368</v>
      </c>
    </row>
    <row r="25">
      <c r="F25" s="1" t="s">
        <v>14</v>
      </c>
      <c r="G25" s="1">
        <v>11.359</v>
      </c>
      <c r="H25" s="1">
        <v>1.77076092783232E9</v>
      </c>
      <c r="I25" s="4">
        <f t="shared" si="9"/>
        <v>0.134796587</v>
      </c>
      <c r="J25" s="1">
        <v>1.0596259539</v>
      </c>
      <c r="K25" s="1">
        <v>1.05962595387998</v>
      </c>
    </row>
    <row r="26">
      <c r="F26" s="1" t="s">
        <v>15</v>
      </c>
      <c r="G26" s="1">
        <v>13.602</v>
      </c>
      <c r="H26" s="1">
        <v>1.77076093003245E9</v>
      </c>
      <c r="I26" s="4">
        <f t="shared" si="9"/>
        <v>0.0919265728</v>
      </c>
      <c r="J26" s="1">
        <v>0.7635727213</v>
      </c>
      <c r="K26" s="1">
        <v>0.763572721260781</v>
      </c>
    </row>
    <row r="27">
      <c r="A27" s="1" t="s">
        <v>35</v>
      </c>
      <c r="B27" s="1">
        <v>2.807</v>
      </c>
      <c r="C27" s="1">
        <v>1.770760996E9</v>
      </c>
      <c r="D27" s="1">
        <v>7.16104212E8</v>
      </c>
      <c r="E27" s="4">
        <f>(C27+(D27/1000000000) - B27)</f>
        <v>1770760994</v>
      </c>
      <c r="F27" s="1" t="s">
        <v>17</v>
      </c>
      <c r="G27" s="1">
        <v>4.47</v>
      </c>
      <c r="H27" s="1">
        <v>1.77076099889855E9</v>
      </c>
      <c r="I27" s="4">
        <f t="shared" ref="I27:I29" si="10">(H27-$E$27)-G27</f>
        <v>0.5194456863</v>
      </c>
      <c r="J27" s="1">
        <v>0.617555902263986</v>
      </c>
      <c r="K27" s="1">
        <v>0.61755590226398</v>
      </c>
    </row>
    <row r="28">
      <c r="F28" s="1" t="s">
        <v>14</v>
      </c>
      <c r="G28" s="1">
        <v>9.71</v>
      </c>
      <c r="H28" s="1">
        <v>1.77076100439885E9</v>
      </c>
      <c r="I28" s="4">
        <f t="shared" si="10"/>
        <v>0.7797456169</v>
      </c>
      <c r="J28" s="1">
        <v>1.05526514702039</v>
      </c>
      <c r="K28" s="1">
        <v>1.0552651470203</v>
      </c>
    </row>
    <row r="29">
      <c r="F29" s="1" t="s">
        <v>15</v>
      </c>
      <c r="G29" s="1">
        <v>12.442</v>
      </c>
      <c r="H29" s="1">
        <v>1.77076100745897E9</v>
      </c>
      <c r="I29" s="4">
        <f t="shared" si="10"/>
        <v>1.107865723</v>
      </c>
      <c r="J29" s="1">
        <v>0.7068303251794</v>
      </c>
      <c r="K29" s="1">
        <v>0.706830325</v>
      </c>
    </row>
    <row r="30">
      <c r="A30" s="1" t="s">
        <v>36</v>
      </c>
      <c r="B30" s="1">
        <v>1.474</v>
      </c>
      <c r="C30" s="1">
        <v>1.770761026E9</v>
      </c>
      <c r="D30" s="1">
        <v>3.83621551E8</v>
      </c>
      <c r="E30" s="4">
        <f>(C30+(D30/1000000000) - B30)</f>
        <v>1770761025</v>
      </c>
      <c r="F30" s="1" t="s">
        <v>17</v>
      </c>
      <c r="G30" s="1">
        <v>3.632</v>
      </c>
      <c r="H30" s="1">
        <v>1.77076102509399E9</v>
      </c>
      <c r="I30" s="4">
        <f t="shared" ref="I30:I32" si="11">(H30-$E$30)-G30</f>
        <v>-3.44763139</v>
      </c>
      <c r="J30" s="1">
        <v>0.648114875180265</v>
      </c>
      <c r="K30" s="1">
        <v>0.648114875180265</v>
      </c>
      <c r="M30" s="1" t="s">
        <v>247</v>
      </c>
    </row>
    <row r="31">
      <c r="F31" s="1" t="s">
        <v>14</v>
      </c>
      <c r="G31" s="1">
        <v>9.206</v>
      </c>
      <c r="H31" s="1">
        <v>1.77076103109608E9</v>
      </c>
      <c r="I31" s="4">
        <f t="shared" si="11"/>
        <v>-3.019541412</v>
      </c>
      <c r="J31" s="1">
        <v>0.898316619561315</v>
      </c>
      <c r="K31" s="1">
        <v>0.898316619561315</v>
      </c>
    </row>
    <row r="32">
      <c r="F32" s="1" t="s">
        <v>15</v>
      </c>
      <c r="G32" s="1">
        <v>11.842</v>
      </c>
      <c r="H32" s="1">
        <v>1.77076103373896E9</v>
      </c>
      <c r="I32" s="4">
        <f t="shared" si="11"/>
        <v>-3.012661449</v>
      </c>
      <c r="J32" s="1">
        <v>0.729357808900581</v>
      </c>
      <c r="K32" s="1">
        <v>0.729357808900581</v>
      </c>
    </row>
    <row r="33">
      <c r="A33" s="1" t="s">
        <v>37</v>
      </c>
      <c r="B33" s="1">
        <v>1.665</v>
      </c>
      <c r="C33" s="1">
        <v>1.770761048E9</v>
      </c>
      <c r="D33" s="1">
        <v>5.7804167E8</v>
      </c>
      <c r="E33" s="4">
        <f>(C33+(D33/1000000000) - B33)</f>
        <v>1770761047</v>
      </c>
      <c r="F33" s="1" t="s">
        <v>17</v>
      </c>
      <c r="G33" s="1">
        <v>3.223</v>
      </c>
      <c r="H33" s="1">
        <v>1.77076105009919E9</v>
      </c>
      <c r="I33" s="4">
        <f t="shared" ref="I33:I35" si="12">(H33-$E$33)-G33</f>
        <v>-0.03685159492</v>
      </c>
      <c r="J33" s="1">
        <v>0.6756369776</v>
      </c>
      <c r="K33" s="1">
        <v>0.675636977604324</v>
      </c>
    </row>
    <row r="34">
      <c r="F34" s="1" t="s">
        <v>14</v>
      </c>
      <c r="G34" s="1">
        <v>8.948</v>
      </c>
      <c r="H34" s="1">
        <v>1.77076105599936E9</v>
      </c>
      <c r="I34" s="4">
        <f t="shared" si="12"/>
        <v>0.1383184929</v>
      </c>
      <c r="J34" s="1">
        <v>1.0959080646</v>
      </c>
      <c r="K34" s="1">
        <v>1.09590806460465</v>
      </c>
    </row>
    <row r="35">
      <c r="F35" s="1" t="s">
        <v>15</v>
      </c>
      <c r="G35" s="1">
        <v>11.278</v>
      </c>
      <c r="H35" s="1">
        <v>1.77076105845936E9</v>
      </c>
      <c r="I35" s="4">
        <f t="shared" si="12"/>
        <v>0.2683182926</v>
      </c>
      <c r="J35" s="1">
        <v>0.774511134</v>
      </c>
      <c r="K35" s="1">
        <v>0.774511133968132</v>
      </c>
    </row>
    <row r="36">
      <c r="A36" s="1" t="s">
        <v>38</v>
      </c>
      <c r="B36" s="1">
        <v>1.997</v>
      </c>
      <c r="C36" s="1">
        <v>1.77076107E9</v>
      </c>
      <c r="D36" s="1">
        <v>5.09913042E8</v>
      </c>
      <c r="E36" s="4">
        <f>(C36+(D36/1000000000) - B36)</f>
        <v>1770761069</v>
      </c>
      <c r="F36" s="1" t="s">
        <v>17</v>
      </c>
      <c r="G36" s="1">
        <v>4.17</v>
      </c>
      <c r="H36" s="1">
        <v>1.7707610725371E9</v>
      </c>
      <c r="I36" s="4">
        <f t="shared" ref="I36:I38" si="13">(H36-$E$36)-G36</f>
        <v>-0.145812912</v>
      </c>
      <c r="J36" s="1">
        <v>0.7324887419</v>
      </c>
      <c r="K36" s="1">
        <v>0.732488741877528</v>
      </c>
    </row>
    <row r="37">
      <c r="F37" s="1" t="s">
        <v>14</v>
      </c>
      <c r="G37" s="1">
        <v>9.198</v>
      </c>
      <c r="H37" s="1">
        <v>1.77076107763952E9</v>
      </c>
      <c r="I37" s="4">
        <f t="shared" si="13"/>
        <v>-0.07139305878</v>
      </c>
      <c r="J37" s="1">
        <v>1.0326041155</v>
      </c>
      <c r="K37" s="1">
        <v>1.03260411553836</v>
      </c>
    </row>
    <row r="38">
      <c r="F38" s="1" t="s">
        <v>15</v>
      </c>
      <c r="G38" s="1">
        <v>11.563</v>
      </c>
      <c r="H38" s="1">
        <v>1.77076108015959E9</v>
      </c>
      <c r="I38" s="4">
        <f t="shared" si="13"/>
        <v>0.08367701721</v>
      </c>
      <c r="J38" s="1">
        <v>0.7585566574</v>
      </c>
      <c r="K38" s="1">
        <v>0.758556657407134</v>
      </c>
    </row>
    <row r="39">
      <c r="A39" s="1" t="s">
        <v>41</v>
      </c>
      <c r="B39" s="1">
        <v>2.03</v>
      </c>
      <c r="C39" s="1">
        <v>1.770761095E9</v>
      </c>
      <c r="D39" s="1">
        <v>3.12338231E8</v>
      </c>
      <c r="E39" s="4">
        <f>(C39+(D39/1000000000) - B39)</f>
        <v>1770761093</v>
      </c>
      <c r="F39" s="1" t="s">
        <v>17</v>
      </c>
      <c r="G39" s="1">
        <v>3.866</v>
      </c>
      <c r="H39" s="1">
        <v>1.77076109744053E9</v>
      </c>
      <c r="I39" s="4">
        <f t="shared" ref="I39:I41" si="14">(H39-$E$39)-G39</f>
        <v>0.2921919193</v>
      </c>
      <c r="J39" s="1">
        <v>0.6739674954</v>
      </c>
      <c r="K39" s="1">
        <v>0.673967495360766</v>
      </c>
    </row>
    <row r="40">
      <c r="F40" s="1" t="s">
        <v>14</v>
      </c>
      <c r="G40" s="1">
        <v>8.595</v>
      </c>
      <c r="H40" s="1">
        <v>1.77076110246019E9</v>
      </c>
      <c r="I40" s="4">
        <f t="shared" si="14"/>
        <v>0.5828519154</v>
      </c>
      <c r="J40" s="1">
        <v>0.9697900619</v>
      </c>
      <c r="K40" s="1">
        <v>0.969790061878825</v>
      </c>
    </row>
    <row r="41">
      <c r="F41" s="1" t="s">
        <v>15</v>
      </c>
      <c r="G41" s="1">
        <v>10.551</v>
      </c>
      <c r="H41" s="1">
        <v>1.77076110455493E9</v>
      </c>
      <c r="I41" s="4">
        <f t="shared" si="14"/>
        <v>0.7215918293</v>
      </c>
      <c r="J41" s="1">
        <v>1.1288435358</v>
      </c>
      <c r="K41" s="1">
        <v>1.12884353579479</v>
      </c>
    </row>
    <row r="42">
      <c r="A42" s="1" t="s">
        <v>42</v>
      </c>
      <c r="B42" s="1">
        <v>1.498</v>
      </c>
      <c r="C42" s="1">
        <v>1.770761145E9</v>
      </c>
      <c r="D42" s="1">
        <v>9.05258708E8</v>
      </c>
      <c r="E42" s="4">
        <f>(C42+(D42/1000000000) - B42)</f>
        <v>1770761144</v>
      </c>
      <c r="F42" s="1" t="s">
        <v>17</v>
      </c>
      <c r="G42" s="1">
        <v>2.889</v>
      </c>
      <c r="H42" s="1">
        <v>1.77076114726132E9</v>
      </c>
      <c r="I42" s="4">
        <f t="shared" ref="I42:I44" si="15">(H42-$E$42)-G42</f>
        <v>-0.03493863487</v>
      </c>
      <c r="J42" s="1">
        <v>0.6695189558</v>
      </c>
      <c r="K42" s="1">
        <v>0.6695189557</v>
      </c>
    </row>
    <row r="43">
      <c r="F43" s="1" t="s">
        <v>14</v>
      </c>
      <c r="G43" s="1">
        <v>8.071</v>
      </c>
      <c r="H43" s="1">
        <v>1.77076115268054E9</v>
      </c>
      <c r="I43" s="4">
        <f t="shared" si="15"/>
        <v>0.2022813358</v>
      </c>
      <c r="J43" s="1">
        <v>0.8664588519</v>
      </c>
      <c r="K43" s="1">
        <v>0.866458851919414</v>
      </c>
    </row>
    <row r="44">
      <c r="F44" s="1" t="s">
        <v>15</v>
      </c>
      <c r="G44" s="1">
        <v>12.898</v>
      </c>
      <c r="H44" s="22">
        <v>1.77076115752053E9</v>
      </c>
      <c r="I44" s="4">
        <f t="shared" si="15"/>
        <v>0.2152712364</v>
      </c>
      <c r="J44" s="22">
        <v>1.0378559732</v>
      </c>
      <c r="K44" s="1">
        <v>1.03785597322694</v>
      </c>
    </row>
    <row r="45">
      <c r="A45" s="1" t="s">
        <v>43</v>
      </c>
      <c r="B45" s="1">
        <v>2.132</v>
      </c>
      <c r="C45" s="1">
        <v>1.77076117E9</v>
      </c>
      <c r="D45" s="1">
        <v>8.54219611E8</v>
      </c>
      <c r="E45" s="4">
        <f>(C45+(D45/1000000000) - B45)</f>
        <v>1770761169</v>
      </c>
      <c r="F45" s="1" t="s">
        <v>17</v>
      </c>
      <c r="G45" s="1">
        <v>4.343</v>
      </c>
      <c r="H45" s="1">
        <v>1.77076117315571E9</v>
      </c>
      <c r="I45" s="4">
        <f t="shared" ref="I45:I47" si="16">(H45-$E$45)-G45</f>
        <v>0.09049027634</v>
      </c>
      <c r="J45" s="1">
        <v>0.7058638883</v>
      </c>
      <c r="K45" s="1">
        <v>0.705863888316813</v>
      </c>
    </row>
    <row r="46">
      <c r="F46" s="1" t="s">
        <v>14</v>
      </c>
      <c r="G46" s="1">
        <v>11.169</v>
      </c>
      <c r="H46" s="1">
        <v>1.77076118008072E9</v>
      </c>
      <c r="I46" s="4">
        <f t="shared" si="16"/>
        <v>0.1895002422</v>
      </c>
      <c r="J46" s="1">
        <v>1.0436391403</v>
      </c>
      <c r="K46" s="1">
        <v>1.04363914026566</v>
      </c>
    </row>
    <row r="47">
      <c r="F47" s="1" t="s">
        <v>15</v>
      </c>
      <c r="G47" s="1">
        <v>13.503</v>
      </c>
      <c r="H47" s="1">
        <v>1.77076118254112E9</v>
      </c>
      <c r="I47" s="4">
        <f t="shared" si="16"/>
        <v>0.3159003468</v>
      </c>
      <c r="J47" s="1">
        <v>0.7070192763</v>
      </c>
      <c r="K47" s="1">
        <v>0.707019276299229</v>
      </c>
    </row>
    <row r="48">
      <c r="A48" s="1" t="s">
        <v>44</v>
      </c>
      <c r="B48" s="1">
        <v>1.435</v>
      </c>
      <c r="C48" s="1">
        <v>1.77076121E9</v>
      </c>
      <c r="D48" s="1">
        <v>5.21526603E8</v>
      </c>
      <c r="E48" s="4">
        <f>(C48+(D48/1000000000) - B48)</f>
        <v>1770761209</v>
      </c>
      <c r="F48" s="1" t="s">
        <v>17</v>
      </c>
      <c r="G48" s="1">
        <v>3.165</v>
      </c>
      <c r="H48" s="1">
        <v>1.77076121205828E9</v>
      </c>
      <c r="I48" s="4">
        <f t="shared" ref="I48:I50" si="17">(H48-$E$48)-G48</f>
        <v>-0.1932466412</v>
      </c>
      <c r="J48" s="1">
        <v>0.6993529493</v>
      </c>
      <c r="K48" s="1">
        <v>0.699352949338323</v>
      </c>
    </row>
    <row r="49">
      <c r="F49" s="1" t="s">
        <v>14</v>
      </c>
      <c r="G49" s="1">
        <v>10.743</v>
      </c>
      <c r="H49" s="1">
        <v>1.77076121985653E9</v>
      </c>
      <c r="I49" s="4">
        <f t="shared" si="17"/>
        <v>0.02700331879</v>
      </c>
      <c r="J49" s="1">
        <v>0.8183505199</v>
      </c>
      <c r="K49" s="1">
        <v>0.818350519855363</v>
      </c>
    </row>
    <row r="50">
      <c r="F50" s="1" t="s">
        <v>15</v>
      </c>
      <c r="G50" s="1">
        <v>13.011</v>
      </c>
      <c r="H50" s="1">
        <v>1.77076122194129E9</v>
      </c>
      <c r="I50" s="4">
        <f t="shared" si="17"/>
        <v>-0.1562367306</v>
      </c>
      <c r="J50" s="1">
        <v>0.7157412862</v>
      </c>
      <c r="K50" s="1">
        <v>0.715741286195749</v>
      </c>
    </row>
  </sheetData>
  <mergeCells count="1">
    <mergeCell ref="N4:O4"/>
  </mergeCells>
  <dataValidations>
    <dataValidation type="list" allowBlank="1" showErrorMessage="1" sqref="F3:F50">
      <formula1>"Cardboard,Acrylic,Tile"</formula1>
    </dataValidation>
  </dataValidations>
  <hyperlinks>
    <hyperlink r:id="rId1" ref="L2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248</v>
      </c>
    </row>
    <row r="2">
      <c r="A2" s="2" t="s">
        <v>2</v>
      </c>
      <c r="B2" s="2" t="s">
        <v>3</v>
      </c>
      <c r="C2" s="2" t="s">
        <v>4</v>
      </c>
      <c r="D2" s="2" t="s">
        <v>5</v>
      </c>
      <c r="E2" s="1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/>
      <c r="L2" s="23"/>
    </row>
    <row r="3">
      <c r="A3" s="1" t="s">
        <v>249</v>
      </c>
      <c r="F3" s="1" t="s">
        <v>17</v>
      </c>
      <c r="I3" s="1">
        <v>-0.3593218918</v>
      </c>
      <c r="J3" s="1">
        <v>0.7631135756</v>
      </c>
    </row>
    <row r="4">
      <c r="F4" s="1" t="s">
        <v>14</v>
      </c>
      <c r="I4" s="1">
        <v>-0.07829483032</v>
      </c>
      <c r="J4" s="1">
        <v>0.7938452464</v>
      </c>
      <c r="N4" s="24"/>
    </row>
    <row r="5">
      <c r="A5" s="1" t="s">
        <v>250</v>
      </c>
      <c r="F5" s="1" t="s">
        <v>17</v>
      </c>
      <c r="I5" s="1">
        <v>-0.3581443977</v>
      </c>
      <c r="J5" s="1">
        <v>0.7634124267</v>
      </c>
    </row>
    <row r="6">
      <c r="F6" s="1" t="s">
        <v>14</v>
      </c>
      <c r="I6" s="1">
        <v>-0.3985070839</v>
      </c>
      <c r="J6" s="1">
        <v>0.8280248969</v>
      </c>
    </row>
    <row r="7">
      <c r="A7" s="1" t="s">
        <v>251</v>
      </c>
      <c r="F7" s="1" t="s">
        <v>17</v>
      </c>
      <c r="I7" s="1">
        <v>-0.5199084873</v>
      </c>
      <c r="J7" s="1">
        <v>0.8149010226</v>
      </c>
      <c r="K7" s="1" t="s">
        <v>252</v>
      </c>
    </row>
    <row r="8">
      <c r="F8" s="1" t="s">
        <v>14</v>
      </c>
      <c r="I8" s="1">
        <v>-0.5592835636</v>
      </c>
      <c r="J8" s="1">
        <v>1.1734408999</v>
      </c>
    </row>
    <row r="9">
      <c r="A9" s="1" t="s">
        <v>253</v>
      </c>
      <c r="F9" s="1" t="s">
        <v>17</v>
      </c>
      <c r="I9" s="1">
        <v>-0.3503653774</v>
      </c>
      <c r="J9" s="1">
        <v>0.7402349295</v>
      </c>
      <c r="K9" s="1"/>
      <c r="N9" s="1"/>
    </row>
    <row r="10">
      <c r="F10" s="1" t="s">
        <v>14</v>
      </c>
      <c r="I10" s="1">
        <v>-0.5291064606</v>
      </c>
      <c r="J10" s="1">
        <v>1.2271572646</v>
      </c>
    </row>
    <row r="11">
      <c r="A11" s="1" t="s">
        <v>254</v>
      </c>
      <c r="F11" s="1" t="s">
        <v>17</v>
      </c>
      <c r="I11" s="1">
        <v>-0.0174</v>
      </c>
      <c r="J11" s="1">
        <v>0.7606694346</v>
      </c>
    </row>
    <row r="12">
      <c r="F12" s="1" t="s">
        <v>14</v>
      </c>
      <c r="I12" s="1">
        <v>-0.0907308</v>
      </c>
      <c r="J12" s="1">
        <v>1.0948751975</v>
      </c>
    </row>
    <row r="13">
      <c r="A13" s="1" t="s">
        <v>255</v>
      </c>
      <c r="F13" s="1" t="s">
        <v>17</v>
      </c>
      <c r="I13" s="1">
        <v>-0.1088781071</v>
      </c>
      <c r="J13" s="1">
        <v>0.62830973</v>
      </c>
      <c r="K13" s="1" t="s">
        <v>256</v>
      </c>
    </row>
    <row r="14">
      <c r="F14" s="1" t="s">
        <v>14</v>
      </c>
      <c r="I14" s="1">
        <v>-0.002933063507</v>
      </c>
      <c r="J14" s="1">
        <v>1.0746031465</v>
      </c>
      <c r="N14" s="24"/>
    </row>
    <row r="15">
      <c r="A15" s="1" t="s">
        <v>257</v>
      </c>
      <c r="F15" s="1" t="s">
        <v>17</v>
      </c>
      <c r="I15" s="1">
        <v>-0.04027332115</v>
      </c>
      <c r="J15" s="1">
        <v>0.7674276654</v>
      </c>
      <c r="N15" s="24"/>
      <c r="O15" s="24"/>
      <c r="P15" s="24"/>
    </row>
    <row r="16">
      <c r="F16" s="1" t="s">
        <v>14</v>
      </c>
      <c r="I16" s="1">
        <v>-0.2078143559</v>
      </c>
      <c r="J16" s="1">
        <v>1.1456535882</v>
      </c>
    </row>
    <row r="17">
      <c r="A17" s="1" t="s">
        <v>258</v>
      </c>
      <c r="F17" s="1" t="s">
        <v>17</v>
      </c>
      <c r="I17" s="1">
        <v>-0.4684307613</v>
      </c>
      <c r="J17" s="1">
        <v>0.8090669306</v>
      </c>
    </row>
    <row r="18">
      <c r="F18" s="1" t="s">
        <v>14</v>
      </c>
      <c r="I18" s="1">
        <v>-0.7723274364</v>
      </c>
      <c r="J18" s="1">
        <v>0.9732260447</v>
      </c>
    </row>
    <row r="19">
      <c r="A19" s="1" t="s">
        <v>259</v>
      </c>
      <c r="F19" s="1" t="s">
        <v>17</v>
      </c>
      <c r="I19" s="1">
        <v>-0.1678700237</v>
      </c>
      <c r="J19" s="1">
        <v>0.834754076</v>
      </c>
    </row>
    <row r="20">
      <c r="F20" s="1" t="s">
        <v>14</v>
      </c>
      <c r="I20" s="1">
        <v>-0.3630180092</v>
      </c>
      <c r="J20" s="1">
        <v>0.9683953042</v>
      </c>
    </row>
    <row r="21">
      <c r="A21" s="1" t="s">
        <v>260</v>
      </c>
      <c r="F21" s="1" t="s">
        <v>17</v>
      </c>
      <c r="I21" s="1">
        <v>-0.1261467972</v>
      </c>
      <c r="J21" s="1">
        <v>0.7852399325</v>
      </c>
    </row>
    <row r="22">
      <c r="F22" s="1" t="s">
        <v>14</v>
      </c>
      <c r="I22" s="1">
        <v>-0.172028698</v>
      </c>
      <c r="J22" s="1">
        <v>0.956274921</v>
      </c>
    </row>
    <row r="23">
      <c r="A23" s="1" t="s">
        <v>261</v>
      </c>
      <c r="F23" s="1" t="s">
        <v>17</v>
      </c>
      <c r="I23" s="1">
        <v>-0.449094698</v>
      </c>
      <c r="J23" s="1">
        <v>0.7787457134</v>
      </c>
    </row>
    <row r="24">
      <c r="F24" s="1" t="s">
        <v>14</v>
      </c>
      <c r="I24" s="1">
        <v>-0.5097266426</v>
      </c>
      <c r="J24" s="1">
        <v>1.0883363372</v>
      </c>
    </row>
    <row r="25">
      <c r="A25" s="1" t="s">
        <v>262</v>
      </c>
      <c r="F25" s="1" t="s">
        <v>17</v>
      </c>
      <c r="I25" s="1">
        <v>-0.6748091412</v>
      </c>
      <c r="J25" s="1">
        <v>0.7791491994</v>
      </c>
    </row>
    <row r="26">
      <c r="F26" s="1" t="s">
        <v>14</v>
      </c>
      <c r="I26" s="1">
        <v>-0.7548442802</v>
      </c>
      <c r="J26" s="1">
        <v>1.0405958084</v>
      </c>
    </row>
    <row r="27">
      <c r="A27" s="1" t="s">
        <v>263</v>
      </c>
      <c r="F27" s="1" t="s">
        <v>17</v>
      </c>
      <c r="I27" s="1">
        <v>-0.4839674988</v>
      </c>
      <c r="J27" s="1">
        <v>0.728108161</v>
      </c>
    </row>
    <row r="28">
      <c r="F28" s="1" t="s">
        <v>14</v>
      </c>
      <c r="I28" s="1">
        <v>-0.5508656635</v>
      </c>
      <c r="J28" s="1">
        <v>1.1061910473</v>
      </c>
    </row>
    <row r="29">
      <c r="A29" s="1" t="s">
        <v>264</v>
      </c>
      <c r="F29" s="1" t="s">
        <v>17</v>
      </c>
      <c r="I29" s="1">
        <v>-0.7918550854</v>
      </c>
      <c r="J29" s="1">
        <v>0.7360634351</v>
      </c>
      <c r="K29" s="1" t="s">
        <v>265</v>
      </c>
    </row>
    <row r="30">
      <c r="F30" s="1" t="s">
        <v>14</v>
      </c>
      <c r="I30" s="1">
        <v>-0.8813103104</v>
      </c>
      <c r="J30" s="1">
        <v>0.9018015842</v>
      </c>
    </row>
    <row r="31">
      <c r="A31" s="1" t="s">
        <v>266</v>
      </c>
      <c r="F31" s="1" t="s">
        <v>17</v>
      </c>
      <c r="I31" s="1">
        <v>-1.046942839</v>
      </c>
      <c r="J31" s="1">
        <v>0.7616601807</v>
      </c>
    </row>
    <row r="32">
      <c r="F32" s="1" t="s">
        <v>14</v>
      </c>
      <c r="I32" s="1">
        <v>0.1557638245</v>
      </c>
      <c r="J32" s="1">
        <v>1.110426904</v>
      </c>
    </row>
    <row r="33">
      <c r="A33" s="1" t="s">
        <v>267</v>
      </c>
      <c r="F33" s="1" t="s">
        <v>17</v>
      </c>
      <c r="I33" s="1">
        <v>-0.3792706852</v>
      </c>
      <c r="J33" s="1">
        <v>0.7463947216</v>
      </c>
    </row>
    <row r="34">
      <c r="F34" s="1" t="s">
        <v>14</v>
      </c>
      <c r="I34" s="1">
        <v>-0.6077622299</v>
      </c>
      <c r="J34" s="1">
        <v>1.0645070887</v>
      </c>
    </row>
    <row r="35">
      <c r="A35" s="1" t="s">
        <v>268</v>
      </c>
      <c r="F35" s="1" t="s">
        <v>17</v>
      </c>
      <c r="I35" s="1">
        <v>-0.7158960934</v>
      </c>
      <c r="J35" s="1">
        <v>0.7589043801</v>
      </c>
    </row>
    <row r="36">
      <c r="F36" s="1" t="s">
        <v>14</v>
      </c>
      <c r="I36" s="1">
        <v>-0.796139555</v>
      </c>
      <c r="J36" s="1">
        <v>1.8035336372</v>
      </c>
    </row>
    <row r="37">
      <c r="A37" s="1" t="s">
        <v>269</v>
      </c>
      <c r="F37" s="1" t="s">
        <v>17</v>
      </c>
      <c r="I37" s="1">
        <v>-0.297124033</v>
      </c>
      <c r="J37" s="1">
        <v>0.7706837071</v>
      </c>
    </row>
    <row r="38">
      <c r="F38" s="1" t="s">
        <v>14</v>
      </c>
      <c r="I38" s="1">
        <v>-0.3568248653</v>
      </c>
      <c r="J38" s="1">
        <v>1.4951655779</v>
      </c>
    </row>
    <row r="39">
      <c r="A39" s="1" t="s">
        <v>270</v>
      </c>
      <c r="F39" s="1" t="s">
        <v>17</v>
      </c>
      <c r="I39" s="1">
        <v>-0.4598282928</v>
      </c>
      <c r="J39" s="1">
        <v>0.7332467526</v>
      </c>
    </row>
    <row r="40">
      <c r="F40" s="1" t="s">
        <v>14</v>
      </c>
      <c r="I40" s="1">
        <v>-0.5468988705</v>
      </c>
      <c r="J40" s="1">
        <v>1.1810047602</v>
      </c>
    </row>
    <row r="41">
      <c r="A41" s="1" t="s">
        <v>271</v>
      </c>
      <c r="F41" s="1" t="s">
        <v>17</v>
      </c>
      <c r="I41" s="1">
        <v>-0.2719067383</v>
      </c>
      <c r="J41" s="1">
        <v>0.7318222723</v>
      </c>
    </row>
    <row r="42">
      <c r="F42" s="1" t="s">
        <v>14</v>
      </c>
      <c r="I42" s="1">
        <v>-0.3739210033</v>
      </c>
      <c r="J42" s="1">
        <v>0.858934218</v>
      </c>
    </row>
    <row r="52">
      <c r="M52" s="2"/>
      <c r="N52" s="25"/>
      <c r="O52" s="25"/>
      <c r="P52" s="25"/>
    </row>
    <row r="53">
      <c r="M53" s="2"/>
      <c r="N53" s="25"/>
      <c r="O53" s="25"/>
      <c r="P53" s="25"/>
    </row>
  </sheetData>
  <mergeCells count="2">
    <mergeCell ref="N4:O4"/>
    <mergeCell ref="N14:P14"/>
  </mergeCells>
  <dataValidations>
    <dataValidation type="list" allowBlank="1" showErrorMessage="1" sqref="F3:F42">
      <formula1>"Cardboard,Acrylic,Tile"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6" max="6" width="15.88"/>
    <col customWidth="1" min="7" max="7" width="10.63"/>
    <col customWidth="1" min="8" max="8" width="14.75"/>
    <col customWidth="1" min="9" max="9" width="13.0"/>
    <col customWidth="1" min="10" max="10" width="10.63"/>
    <col customWidth="1" min="11" max="11" width="12.13"/>
  </cols>
  <sheetData>
    <row r="1">
      <c r="A1" s="2" t="s">
        <v>2</v>
      </c>
      <c r="B1" s="2" t="s">
        <v>7</v>
      </c>
      <c r="C1" s="2" t="s">
        <v>272</v>
      </c>
      <c r="D1" s="2" t="s">
        <v>9</v>
      </c>
      <c r="E1" s="2" t="s">
        <v>11</v>
      </c>
      <c r="F1" s="2" t="s">
        <v>273</v>
      </c>
      <c r="G1" s="2"/>
      <c r="H1" s="2"/>
      <c r="I1" s="2"/>
      <c r="J1" s="2"/>
      <c r="K1" s="2"/>
    </row>
    <row r="2">
      <c r="A2" s="26" t="s">
        <v>274</v>
      </c>
      <c r="L2" s="2"/>
    </row>
    <row r="3">
      <c r="A3" s="1" t="s">
        <v>13</v>
      </c>
      <c r="B3" s="1" t="s">
        <v>14</v>
      </c>
      <c r="C3" s="1">
        <v>5.0</v>
      </c>
      <c r="D3" s="1">
        <v>1.77068522925567E9</v>
      </c>
      <c r="E3" s="1">
        <v>0.8415899703</v>
      </c>
      <c r="J3" s="27"/>
      <c r="K3" s="28"/>
      <c r="M3" s="1" t="s">
        <v>275</v>
      </c>
      <c r="P3" s="1" t="s">
        <v>276</v>
      </c>
      <c r="S3" s="1" t="s">
        <v>277</v>
      </c>
      <c r="V3" s="1" t="s">
        <v>278</v>
      </c>
      <c r="Y3" s="1" t="s">
        <v>279</v>
      </c>
    </row>
    <row r="4">
      <c r="B4" s="1" t="s">
        <v>15</v>
      </c>
      <c r="C4" s="1" t="s">
        <v>280</v>
      </c>
      <c r="D4" s="1">
        <v>1.77068523261237E9</v>
      </c>
      <c r="E4" s="1">
        <v>0.9127304548</v>
      </c>
      <c r="J4" s="27"/>
      <c r="K4" s="28"/>
      <c r="M4" s="1" t="s">
        <v>281</v>
      </c>
      <c r="P4" s="1" t="s">
        <v>282</v>
      </c>
      <c r="S4" s="1" t="s">
        <v>283</v>
      </c>
      <c r="V4" s="1" t="s">
        <v>284</v>
      </c>
      <c r="Y4" s="1" t="s">
        <v>285</v>
      </c>
    </row>
    <row r="5">
      <c r="B5" s="1" t="s">
        <v>17</v>
      </c>
      <c r="C5" s="1" t="s">
        <v>280</v>
      </c>
      <c r="D5" s="1">
        <v>1.77068523551588E9</v>
      </c>
      <c r="E5" s="1">
        <v>0.6960932134</v>
      </c>
      <c r="J5" s="27"/>
      <c r="K5" s="28"/>
      <c r="M5" s="1" t="s">
        <v>286</v>
      </c>
      <c r="P5" s="1" t="s">
        <v>287</v>
      </c>
      <c r="S5" s="1" t="s">
        <v>288</v>
      </c>
      <c r="V5" s="1" t="s">
        <v>289</v>
      </c>
      <c r="Y5" s="1" t="s">
        <v>290</v>
      </c>
    </row>
    <row r="6">
      <c r="A6" s="1" t="s">
        <v>18</v>
      </c>
      <c r="B6" s="1" t="s">
        <v>14</v>
      </c>
      <c r="C6" s="29">
        <v>2.0</v>
      </c>
      <c r="D6" s="1">
        <v>1.77068525485617E9</v>
      </c>
      <c r="E6" s="1">
        <v>1.1257118388</v>
      </c>
      <c r="J6" s="27"/>
      <c r="K6" s="28"/>
      <c r="M6" s="1" t="s">
        <v>291</v>
      </c>
      <c r="P6" s="1" t="s">
        <v>292</v>
      </c>
      <c r="S6" s="1" t="s">
        <v>293</v>
      </c>
      <c r="V6" s="1" t="s">
        <v>294</v>
      </c>
      <c r="Y6" s="1" t="s">
        <v>295</v>
      </c>
    </row>
    <row r="7">
      <c r="B7" s="1" t="s">
        <v>15</v>
      </c>
      <c r="C7" s="1" t="s">
        <v>280</v>
      </c>
      <c r="D7" s="1">
        <v>1.77068525799621E9</v>
      </c>
      <c r="E7" s="1">
        <v>0.9801569032</v>
      </c>
      <c r="J7" s="27"/>
      <c r="K7" s="28"/>
      <c r="M7" s="1" t="s">
        <v>296</v>
      </c>
      <c r="P7" s="1" t="s">
        <v>297</v>
      </c>
      <c r="S7" s="1" t="s">
        <v>298</v>
      </c>
      <c r="V7" s="1" t="s">
        <v>299</v>
      </c>
      <c r="Y7" s="1" t="s">
        <v>300</v>
      </c>
    </row>
    <row r="8">
      <c r="B8" s="1" t="s">
        <v>17</v>
      </c>
      <c r="C8" s="1" t="s">
        <v>280</v>
      </c>
      <c r="D8" s="1">
        <v>1.77068526243618E9</v>
      </c>
      <c r="E8" s="1">
        <v>0.711716796</v>
      </c>
      <c r="J8" s="27"/>
      <c r="K8" s="28"/>
      <c r="M8" s="1" t="s">
        <v>301</v>
      </c>
      <c r="P8" s="1" t="s">
        <v>302</v>
      </c>
      <c r="S8" s="1" t="s">
        <v>303</v>
      </c>
      <c r="V8" s="1" t="s">
        <v>304</v>
      </c>
      <c r="Y8" s="1" t="s">
        <v>305</v>
      </c>
    </row>
    <row r="9">
      <c r="A9" s="1" t="s">
        <v>19</v>
      </c>
      <c r="B9" s="1" t="s">
        <v>14</v>
      </c>
      <c r="C9" s="1">
        <v>5.0</v>
      </c>
      <c r="D9" s="1">
        <v>1.77068527803681E9</v>
      </c>
      <c r="E9" s="1">
        <v>1.1714725596</v>
      </c>
      <c r="J9" s="27"/>
      <c r="K9" s="28"/>
      <c r="M9" s="1" t="s">
        <v>306</v>
      </c>
      <c r="P9" s="1" t="s">
        <v>307</v>
      </c>
      <c r="S9" s="1" t="s">
        <v>308</v>
      </c>
      <c r="V9" s="1" t="s">
        <v>309</v>
      </c>
      <c r="Y9" s="1" t="s">
        <v>309</v>
      </c>
    </row>
    <row r="10">
      <c r="B10" s="1" t="s">
        <v>15</v>
      </c>
      <c r="C10" s="1" t="s">
        <v>280</v>
      </c>
      <c r="D10" s="1">
        <v>1.77068528049645E9</v>
      </c>
      <c r="E10" s="1">
        <v>0.8675244117</v>
      </c>
      <c r="J10" s="27"/>
      <c r="K10" s="28"/>
      <c r="M10" s="1" t="s">
        <v>310</v>
      </c>
      <c r="P10" s="1" t="s">
        <v>311</v>
      </c>
      <c r="S10" s="1" t="s">
        <v>312</v>
      </c>
      <c r="V10" s="1" t="s">
        <v>313</v>
      </c>
      <c r="Y10" s="1" t="s">
        <v>314</v>
      </c>
    </row>
    <row r="11">
      <c r="B11" s="1" t="s">
        <v>17</v>
      </c>
      <c r="C11" s="1" t="s">
        <v>280</v>
      </c>
      <c r="D11" s="1">
        <v>1.7706852832317E9</v>
      </c>
      <c r="E11" s="1">
        <v>0.7205852602</v>
      </c>
      <c r="J11" s="27"/>
      <c r="K11" s="28"/>
      <c r="M11" s="1" t="s">
        <v>315</v>
      </c>
      <c r="P11" s="1" t="s">
        <v>316</v>
      </c>
      <c r="S11" s="1" t="s">
        <v>317</v>
      </c>
      <c r="V11" s="1" t="s">
        <v>318</v>
      </c>
      <c r="Y11" s="1" t="s">
        <v>316</v>
      </c>
    </row>
    <row r="12">
      <c r="A12" s="1" t="s">
        <v>22</v>
      </c>
      <c r="B12" s="1" t="s">
        <v>14</v>
      </c>
      <c r="C12" s="1">
        <v>5.0</v>
      </c>
      <c r="D12" s="1">
        <v>1.77068530003416E9</v>
      </c>
      <c r="E12" s="1">
        <v>0.9486374599</v>
      </c>
      <c r="F12" s="1" t="s">
        <v>319</v>
      </c>
      <c r="J12" s="27"/>
      <c r="K12" s="28"/>
      <c r="M12" s="1" t="s">
        <v>320</v>
      </c>
      <c r="P12" s="1" t="s">
        <v>321</v>
      </c>
      <c r="S12" s="1" t="s">
        <v>322</v>
      </c>
      <c r="V12" s="1" t="s">
        <v>323</v>
      </c>
      <c r="Y12" s="1" t="s">
        <v>324</v>
      </c>
    </row>
    <row r="13">
      <c r="B13" s="1" t="s">
        <v>15</v>
      </c>
      <c r="C13" s="1" t="s">
        <v>280</v>
      </c>
      <c r="D13" s="1">
        <v>1.77068530251681E9</v>
      </c>
      <c r="E13" s="1">
        <v>1.0748973615</v>
      </c>
      <c r="J13" s="27"/>
      <c r="K13" s="28"/>
      <c r="M13" s="1" t="s">
        <v>325</v>
      </c>
      <c r="P13" s="1" t="s">
        <v>326</v>
      </c>
      <c r="S13" s="1" t="s">
        <v>327</v>
      </c>
      <c r="V13" s="1" t="s">
        <v>328</v>
      </c>
      <c r="Y13" s="1" t="s">
        <v>329</v>
      </c>
    </row>
    <row r="14">
      <c r="B14" s="1" t="s">
        <v>17</v>
      </c>
      <c r="C14" s="1" t="s">
        <v>280</v>
      </c>
      <c r="D14" s="1">
        <v>1.77068530609197E9</v>
      </c>
      <c r="E14" s="1">
        <v>0.7014588838</v>
      </c>
      <c r="J14" s="27"/>
      <c r="K14" s="28"/>
      <c r="M14" s="1" t="s">
        <v>330</v>
      </c>
      <c r="P14" s="1" t="s">
        <v>331</v>
      </c>
      <c r="S14" s="1" t="s">
        <v>332</v>
      </c>
      <c r="V14" s="1" t="s">
        <v>333</v>
      </c>
      <c r="Y14" s="1" t="s">
        <v>333</v>
      </c>
    </row>
    <row r="15">
      <c r="A15" s="1" t="s">
        <v>26</v>
      </c>
      <c r="B15" s="1" t="s">
        <v>14</v>
      </c>
      <c r="C15" s="1">
        <v>4.0</v>
      </c>
      <c r="D15" s="1">
        <v>1.7706853249523E9</v>
      </c>
      <c r="E15" s="1">
        <v>1.0939337648</v>
      </c>
      <c r="J15" s="27"/>
      <c r="K15" s="28"/>
      <c r="M15" s="1" t="s">
        <v>334</v>
      </c>
      <c r="P15" s="1" t="s">
        <v>335</v>
      </c>
      <c r="S15" s="1" t="s">
        <v>336</v>
      </c>
      <c r="V15" s="1" t="s">
        <v>337</v>
      </c>
      <c r="Y15" s="1" t="s">
        <v>335</v>
      </c>
    </row>
    <row r="16">
      <c r="B16" s="1" t="s">
        <v>15</v>
      </c>
      <c r="C16" s="1" t="s">
        <v>280</v>
      </c>
      <c r="D16" s="1">
        <v>1.77068532815744E9</v>
      </c>
      <c r="E16" s="1">
        <v>0.9176910204</v>
      </c>
      <c r="J16" s="27"/>
      <c r="K16" s="28"/>
    </row>
    <row r="17">
      <c r="B17" s="1" t="s">
        <v>17</v>
      </c>
      <c r="C17" s="1" t="s">
        <v>280</v>
      </c>
      <c r="D17" s="1">
        <v>1.77068533195232E9</v>
      </c>
      <c r="E17" s="1">
        <v>0.7630843658</v>
      </c>
      <c r="J17" s="27"/>
      <c r="K17" s="28"/>
    </row>
    <row r="18">
      <c r="A18" s="1" t="s">
        <v>32</v>
      </c>
      <c r="B18" s="1" t="s">
        <v>14</v>
      </c>
      <c r="C18" s="1">
        <v>3.0</v>
      </c>
      <c r="D18" s="1">
        <v>1.7706853476788E9</v>
      </c>
      <c r="E18" s="1">
        <v>1.2232984343</v>
      </c>
      <c r="J18" s="27"/>
      <c r="K18" s="28"/>
    </row>
    <row r="19">
      <c r="B19" s="1" t="s">
        <v>15</v>
      </c>
      <c r="C19" s="1" t="s">
        <v>280</v>
      </c>
      <c r="D19" s="1">
        <v>1.77068535077796E9</v>
      </c>
      <c r="E19" s="1">
        <v>0.7205485175</v>
      </c>
      <c r="J19" s="27"/>
      <c r="K19" s="28"/>
    </row>
    <row r="20">
      <c r="B20" s="1" t="s">
        <v>17</v>
      </c>
      <c r="C20" s="1" t="s">
        <v>280</v>
      </c>
      <c r="D20" s="1">
        <v>1.77068535437281E9</v>
      </c>
      <c r="E20" s="1">
        <v>0.65954879</v>
      </c>
      <c r="J20" s="27"/>
      <c r="K20" s="28"/>
    </row>
    <row r="21">
      <c r="A21" s="1" t="s">
        <v>33</v>
      </c>
      <c r="B21" s="1" t="s">
        <v>14</v>
      </c>
      <c r="C21" s="1">
        <v>2.0</v>
      </c>
      <c r="D21" s="1">
        <v>1.77068536989273E9</v>
      </c>
      <c r="E21" s="1">
        <v>1.2385643507</v>
      </c>
      <c r="J21" s="27"/>
      <c r="K21" s="28"/>
    </row>
    <row r="22">
      <c r="B22" s="1" t="s">
        <v>15</v>
      </c>
      <c r="C22" s="1" t="s">
        <v>280</v>
      </c>
      <c r="D22" s="1">
        <v>1.77068537333746E9</v>
      </c>
      <c r="E22" s="1">
        <v>0.9599639196</v>
      </c>
      <c r="J22" s="27"/>
      <c r="K22" s="28"/>
      <c r="M22" s="30"/>
      <c r="N22" s="30"/>
      <c r="P22" s="30"/>
      <c r="S22" s="30"/>
      <c r="V22" s="31"/>
      <c r="Y22" s="31"/>
    </row>
    <row r="23">
      <c r="B23" s="1" t="s">
        <v>17</v>
      </c>
      <c r="C23" s="1" t="s">
        <v>280</v>
      </c>
      <c r="D23" s="1">
        <v>1.77068537645816E9</v>
      </c>
      <c r="E23" s="1">
        <v>0.6950948899</v>
      </c>
      <c r="J23" s="27"/>
      <c r="K23" s="28"/>
      <c r="V23" s="32"/>
      <c r="W23" s="32"/>
      <c r="Y23" s="32"/>
      <c r="Z23" s="32"/>
    </row>
    <row r="24">
      <c r="A24" s="1" t="s">
        <v>34</v>
      </c>
      <c r="B24" s="1" t="s">
        <v>14</v>
      </c>
      <c r="C24" s="1">
        <v>4.0</v>
      </c>
      <c r="D24" s="1">
        <v>1.77068541885294E9</v>
      </c>
      <c r="E24" s="1">
        <v>1.207087062</v>
      </c>
      <c r="J24" s="27"/>
      <c r="K24" s="28"/>
    </row>
    <row r="25">
      <c r="B25" s="1" t="s">
        <v>15</v>
      </c>
      <c r="C25" s="1" t="s">
        <v>280</v>
      </c>
      <c r="D25" s="1">
        <v>1.77068542181798E9</v>
      </c>
      <c r="E25" s="1">
        <v>0.9006794133</v>
      </c>
      <c r="J25" s="27"/>
      <c r="K25" s="28"/>
    </row>
    <row r="26">
      <c r="B26" s="1" t="s">
        <v>17</v>
      </c>
      <c r="C26" s="1" t="s">
        <v>280</v>
      </c>
      <c r="D26" s="1">
        <v>1.77068542471798E9</v>
      </c>
      <c r="E26" s="1">
        <v>0.6912420848</v>
      </c>
      <c r="J26" s="27"/>
      <c r="K26" s="28"/>
    </row>
    <row r="27">
      <c r="A27" s="1" t="s">
        <v>35</v>
      </c>
      <c r="B27" s="1" t="s">
        <v>14</v>
      </c>
      <c r="C27" s="1">
        <v>1.0</v>
      </c>
      <c r="D27" s="1">
        <v>1.77068543983342E9</v>
      </c>
      <c r="E27" s="1">
        <v>1.12737686318637</v>
      </c>
      <c r="J27" s="27"/>
      <c r="K27" s="28"/>
    </row>
    <row r="28">
      <c r="B28" s="1" t="s">
        <v>15</v>
      </c>
      <c r="C28" s="1" t="s">
        <v>280</v>
      </c>
      <c r="D28" s="1">
        <v>1.77068544231808E9</v>
      </c>
      <c r="E28" s="1">
        <v>1.10586810208812</v>
      </c>
      <c r="J28" s="27"/>
      <c r="K28" s="28"/>
    </row>
    <row r="29">
      <c r="B29" s="1" t="s">
        <v>17</v>
      </c>
      <c r="C29" s="1" t="s">
        <v>280</v>
      </c>
      <c r="D29" s="1">
        <v>1.77068544553801E9</v>
      </c>
      <c r="E29" s="1">
        <v>0.750480501517266</v>
      </c>
      <c r="J29" s="27"/>
      <c r="K29" s="28"/>
    </row>
    <row r="30">
      <c r="A30" s="1" t="s">
        <v>36</v>
      </c>
      <c r="B30" s="1" t="s">
        <v>14</v>
      </c>
      <c r="C30" s="1">
        <v>5.0</v>
      </c>
      <c r="D30" s="1">
        <v>1.77068546077821E9</v>
      </c>
      <c r="E30" s="1">
        <v>0.928818455</v>
      </c>
      <c r="J30" s="27"/>
      <c r="K30" s="28"/>
    </row>
    <row r="31">
      <c r="B31" s="1" t="s">
        <v>15</v>
      </c>
      <c r="C31" s="1" t="s">
        <v>280</v>
      </c>
      <c r="D31" s="1">
        <v>1.77068546475331E9</v>
      </c>
      <c r="E31" s="1">
        <v>0.6981543221</v>
      </c>
      <c r="J31" s="27"/>
      <c r="K31" s="28"/>
    </row>
    <row r="32">
      <c r="B32" s="1" t="s">
        <v>17</v>
      </c>
      <c r="C32" s="1" t="s">
        <v>280</v>
      </c>
      <c r="D32" s="1">
        <v>1.77068546793845E9</v>
      </c>
      <c r="E32" s="1">
        <v>0.6795514235</v>
      </c>
      <c r="J32" s="27"/>
      <c r="K32" s="28"/>
    </row>
    <row r="33">
      <c r="A33" s="1" t="s">
        <v>37</v>
      </c>
      <c r="B33" s="1" t="s">
        <v>14</v>
      </c>
      <c r="C33" s="1">
        <v>3.0</v>
      </c>
      <c r="D33" s="1">
        <v>1.7706854823186E9</v>
      </c>
      <c r="E33" s="1">
        <v>1.0654395648</v>
      </c>
      <c r="J33" s="27"/>
      <c r="K33" s="28"/>
    </row>
    <row r="34">
      <c r="B34" s="1" t="s">
        <v>15</v>
      </c>
      <c r="C34" s="1" t="s">
        <v>280</v>
      </c>
      <c r="D34" s="1">
        <v>1.77068548551845E9</v>
      </c>
      <c r="E34" s="1">
        <v>0.7520148837</v>
      </c>
      <c r="J34" s="27"/>
      <c r="K34" s="28"/>
    </row>
    <row r="35">
      <c r="B35" s="1" t="s">
        <v>17</v>
      </c>
      <c r="C35" s="1" t="s">
        <v>280</v>
      </c>
      <c r="D35" s="1">
        <v>1.77068548841408E9</v>
      </c>
      <c r="E35" s="1">
        <v>0.7371280318</v>
      </c>
      <c r="J35" s="27"/>
      <c r="K35" s="28"/>
    </row>
    <row r="36">
      <c r="A36" s="1" t="s">
        <v>38</v>
      </c>
      <c r="B36" s="1" t="s">
        <v>14</v>
      </c>
      <c r="C36" s="1">
        <v>4.0</v>
      </c>
      <c r="D36" s="1">
        <v>1.77068551697712E9</v>
      </c>
      <c r="E36" s="1">
        <v>1.0844269984</v>
      </c>
      <c r="J36" s="27"/>
      <c r="K36" s="28"/>
    </row>
    <row r="37">
      <c r="B37" s="1" t="s">
        <v>15</v>
      </c>
      <c r="C37" s="1" t="s">
        <v>280</v>
      </c>
      <c r="D37" s="1">
        <v>1.7706855191939E9</v>
      </c>
      <c r="E37" s="1">
        <v>0.9668405456</v>
      </c>
      <c r="J37" s="27"/>
      <c r="K37" s="28"/>
    </row>
    <row r="38">
      <c r="B38" s="1" t="s">
        <v>17</v>
      </c>
      <c r="C38" s="1" t="s">
        <v>280</v>
      </c>
      <c r="D38" s="1">
        <v>1.77068552191907E9</v>
      </c>
      <c r="E38" s="1">
        <v>0.6586842966</v>
      </c>
      <c r="J38" s="27"/>
      <c r="K38" s="28"/>
    </row>
    <row r="39">
      <c r="A39" s="1" t="s">
        <v>41</v>
      </c>
      <c r="B39" s="1" t="s">
        <v>14</v>
      </c>
      <c r="C39" s="1">
        <v>4.0</v>
      </c>
      <c r="D39" s="1">
        <v>1.77068554105919E9</v>
      </c>
      <c r="E39" s="1">
        <v>1.0026714958</v>
      </c>
      <c r="J39" s="27"/>
      <c r="K39" s="28"/>
    </row>
    <row r="40">
      <c r="B40" s="1" t="s">
        <v>15</v>
      </c>
      <c r="C40" s="1" t="s">
        <v>280</v>
      </c>
      <c r="D40" s="1">
        <v>1.77068554385939E9</v>
      </c>
      <c r="E40" s="1">
        <v>0.7233920819</v>
      </c>
      <c r="J40" s="27"/>
      <c r="K40" s="28"/>
    </row>
    <row r="41">
      <c r="B41" s="1" t="s">
        <v>17</v>
      </c>
      <c r="C41" s="1" t="s">
        <v>280</v>
      </c>
      <c r="D41" s="1">
        <v>1.7706855468542E9</v>
      </c>
      <c r="E41" s="1">
        <v>0.7251524385</v>
      </c>
      <c r="J41" s="27"/>
      <c r="K41" s="28"/>
    </row>
    <row r="42">
      <c r="A42" s="1" t="s">
        <v>42</v>
      </c>
      <c r="B42" s="1" t="s">
        <v>14</v>
      </c>
      <c r="C42" s="1">
        <v>5.0</v>
      </c>
      <c r="D42" s="1">
        <v>1.77068556253928E9</v>
      </c>
      <c r="E42" s="1">
        <v>0.9468346919</v>
      </c>
      <c r="J42" s="27"/>
      <c r="K42" s="28"/>
    </row>
    <row r="43">
      <c r="B43" s="1" t="s">
        <v>15</v>
      </c>
      <c r="C43" s="1" t="s">
        <v>280</v>
      </c>
      <c r="D43" s="1">
        <v>1.77068556507437E9</v>
      </c>
      <c r="E43" s="1">
        <v>1.0436262687</v>
      </c>
      <c r="J43" s="27"/>
      <c r="K43" s="28"/>
    </row>
    <row r="44">
      <c r="B44" s="1" t="s">
        <v>17</v>
      </c>
      <c r="C44" s="1" t="s">
        <v>280</v>
      </c>
      <c r="D44" s="1">
        <v>1.77068556798029E9</v>
      </c>
      <c r="E44" s="1">
        <v>0.6678314216</v>
      </c>
      <c r="J44" s="27"/>
      <c r="K44" s="28"/>
    </row>
    <row r="45">
      <c r="A45" s="1" t="s">
        <v>43</v>
      </c>
      <c r="B45" s="1" t="s">
        <v>14</v>
      </c>
      <c r="C45" s="1">
        <v>5.0</v>
      </c>
      <c r="D45" s="1">
        <v>1.77068558335661E9</v>
      </c>
      <c r="E45" s="1">
        <v>1.0486527015</v>
      </c>
      <c r="J45" s="27"/>
      <c r="K45" s="28"/>
    </row>
    <row r="46">
      <c r="B46" s="1" t="s">
        <v>15</v>
      </c>
      <c r="C46" s="1" t="s">
        <v>280</v>
      </c>
      <c r="D46" s="1">
        <v>1.77068558635768E9</v>
      </c>
      <c r="E46" s="1">
        <v>0.7675737622</v>
      </c>
      <c r="J46" s="27"/>
      <c r="K46" s="28"/>
    </row>
    <row r="47">
      <c r="B47" s="1" t="s">
        <v>17</v>
      </c>
      <c r="C47" s="1" t="s">
        <v>280</v>
      </c>
      <c r="D47" s="1">
        <v>1.77068558915489E9</v>
      </c>
      <c r="E47" s="1">
        <v>0.6395216272</v>
      </c>
      <c r="J47" s="27"/>
      <c r="K47" s="28"/>
    </row>
    <row r="48">
      <c r="A48" s="1" t="s">
        <v>44</v>
      </c>
      <c r="B48" s="1" t="s">
        <v>14</v>
      </c>
      <c r="C48" s="1">
        <v>5.0</v>
      </c>
      <c r="D48" s="1">
        <v>1.77068560463504E9</v>
      </c>
      <c r="E48" s="1">
        <v>0.9765088555</v>
      </c>
      <c r="J48" s="27"/>
      <c r="K48" s="28"/>
    </row>
    <row r="49">
      <c r="B49" s="1" t="s">
        <v>15</v>
      </c>
      <c r="C49" s="1" t="s">
        <v>280</v>
      </c>
      <c r="D49" s="1">
        <v>1.77068560775506E9</v>
      </c>
      <c r="E49" s="1">
        <v>0.6747166092</v>
      </c>
      <c r="J49" s="27"/>
      <c r="K49" s="28"/>
    </row>
    <row r="50">
      <c r="B50" s="1" t="s">
        <v>17</v>
      </c>
      <c r="C50" s="1" t="s">
        <v>280</v>
      </c>
      <c r="D50" s="1">
        <v>1.77068561027965E9</v>
      </c>
      <c r="E50" s="1">
        <v>0.630516063</v>
      </c>
      <c r="J50" s="27"/>
      <c r="K50" s="28"/>
    </row>
    <row r="51">
      <c r="A51" s="1" t="s">
        <v>45</v>
      </c>
      <c r="B51" s="1" t="s">
        <v>14</v>
      </c>
      <c r="C51" s="1">
        <v>3.0</v>
      </c>
      <c r="D51" s="1">
        <v>1.77068562489978E9</v>
      </c>
      <c r="E51" s="1">
        <v>0.8813267071</v>
      </c>
      <c r="F51" s="1" t="s">
        <v>319</v>
      </c>
      <c r="J51" s="27"/>
      <c r="K51" s="28"/>
    </row>
    <row r="52">
      <c r="B52" s="1" t="s">
        <v>15</v>
      </c>
      <c r="C52" s="1" t="s">
        <v>280</v>
      </c>
      <c r="D52" s="1">
        <v>1.77068562847506E9</v>
      </c>
      <c r="E52" s="1">
        <v>0.6826693048</v>
      </c>
      <c r="J52" s="27"/>
      <c r="K52" s="28"/>
    </row>
    <row r="53">
      <c r="B53" s="1" t="s">
        <v>17</v>
      </c>
      <c r="C53" s="1" t="s">
        <v>280</v>
      </c>
      <c r="D53" s="1">
        <v>1.77068563145972E9</v>
      </c>
      <c r="E53" s="1">
        <v>0.5967960455</v>
      </c>
      <c r="J53" s="27"/>
      <c r="K53" s="28"/>
    </row>
    <row r="54">
      <c r="A54" s="1" t="s">
        <v>47</v>
      </c>
      <c r="B54" s="1" t="s">
        <v>14</v>
      </c>
      <c r="C54" s="1">
        <v>3.0</v>
      </c>
      <c r="D54" s="1">
        <v>1.77068565182002E9</v>
      </c>
      <c r="E54" s="1">
        <v>0.9142219725</v>
      </c>
      <c r="J54" s="27"/>
      <c r="K54" s="28"/>
    </row>
    <row r="55">
      <c r="B55" s="1" t="s">
        <v>15</v>
      </c>
      <c r="C55" s="1" t="s">
        <v>280</v>
      </c>
      <c r="D55" s="1">
        <v>1.77068565473496E9</v>
      </c>
      <c r="E55" s="1">
        <v>0.722906372</v>
      </c>
      <c r="J55" s="27"/>
      <c r="K55" s="28"/>
    </row>
    <row r="56">
      <c r="B56" s="1" t="s">
        <v>17</v>
      </c>
      <c r="C56" s="1" t="s">
        <v>280</v>
      </c>
      <c r="D56" s="1">
        <v>1.77068565725507E9</v>
      </c>
      <c r="E56" s="1">
        <v>0.6952665292</v>
      </c>
      <c r="J56" s="27"/>
      <c r="K56" s="28"/>
    </row>
    <row r="57">
      <c r="A57" s="1" t="s">
        <v>48</v>
      </c>
      <c r="B57" s="1" t="s">
        <v>14</v>
      </c>
      <c r="C57" s="1">
        <v>1.0</v>
      </c>
      <c r="D57" s="1">
        <v>1.77068568339548E9</v>
      </c>
      <c r="E57" s="1">
        <v>0.936962369024282</v>
      </c>
      <c r="J57" s="27"/>
      <c r="K57" s="28"/>
    </row>
    <row r="58">
      <c r="B58" s="1" t="s">
        <v>15</v>
      </c>
      <c r="C58" s="1" t="s">
        <v>280</v>
      </c>
      <c r="D58" s="1">
        <v>1.77068568578035E9</v>
      </c>
      <c r="E58" s="1">
        <v>1.06170511115125</v>
      </c>
      <c r="J58" s="27"/>
      <c r="K58" s="28"/>
    </row>
    <row r="59">
      <c r="B59" s="1" t="s">
        <v>17</v>
      </c>
      <c r="C59" s="1" t="s">
        <v>280</v>
      </c>
      <c r="D59" s="1">
        <v>1.77068568869544E9</v>
      </c>
      <c r="E59" s="1">
        <v>0.699887318630538</v>
      </c>
      <c r="J59" s="27"/>
      <c r="K59" s="28"/>
    </row>
    <row r="60">
      <c r="A60" s="1" t="s">
        <v>49</v>
      </c>
      <c r="B60" s="1" t="s">
        <v>14</v>
      </c>
      <c r="C60" s="1">
        <v>1.0</v>
      </c>
      <c r="D60" s="1">
        <v>1.77068570284042E9</v>
      </c>
      <c r="E60" s="1">
        <v>1.02945181978471</v>
      </c>
      <c r="J60" s="27"/>
      <c r="K60" s="28"/>
    </row>
    <row r="61">
      <c r="B61" s="1" t="s">
        <v>15</v>
      </c>
      <c r="C61" s="1" t="s">
        <v>280</v>
      </c>
      <c r="D61" s="1">
        <v>1.77068570534603E9</v>
      </c>
      <c r="E61" s="1">
        <v>0.916437840058194</v>
      </c>
      <c r="J61" s="27"/>
      <c r="K61" s="28"/>
    </row>
    <row r="62">
      <c r="A62" s="25"/>
      <c r="B62" s="1" t="s">
        <v>17</v>
      </c>
      <c r="C62" s="1" t="s">
        <v>280</v>
      </c>
      <c r="D62" s="1">
        <v>1.7706857078605E9</v>
      </c>
      <c r="E62" s="1">
        <v>0.699786398186203</v>
      </c>
      <c r="J62" s="27"/>
      <c r="K62" s="28"/>
    </row>
    <row r="63">
      <c r="A63" s="26" t="s">
        <v>338</v>
      </c>
      <c r="C63" s="1" t="s">
        <v>280</v>
      </c>
      <c r="J63" s="2"/>
      <c r="K63" s="2"/>
    </row>
    <row r="64">
      <c r="A64" s="1" t="s">
        <v>13</v>
      </c>
      <c r="B64" s="1" t="s">
        <v>17</v>
      </c>
      <c r="C64" s="1">
        <v>4.0</v>
      </c>
      <c r="D64" s="1">
        <v>1.77076064738949E9</v>
      </c>
      <c r="E64" s="1">
        <v>0.6918024201</v>
      </c>
      <c r="J64" s="27"/>
      <c r="K64" s="28"/>
    </row>
    <row r="65">
      <c r="B65" s="1" t="s">
        <v>14</v>
      </c>
      <c r="C65" s="1" t="s">
        <v>280</v>
      </c>
      <c r="D65" s="1">
        <v>1.77076065366552E9</v>
      </c>
      <c r="E65" s="1">
        <v>0.9907632305</v>
      </c>
      <c r="J65" s="27"/>
      <c r="K65" s="28"/>
    </row>
    <row r="66">
      <c r="B66" s="1" t="s">
        <v>15</v>
      </c>
      <c r="C66" s="1" t="s">
        <v>280</v>
      </c>
      <c r="D66" s="1">
        <v>1.77076065674963E9</v>
      </c>
      <c r="E66" s="1">
        <v>0.82483737</v>
      </c>
      <c r="J66" s="27"/>
      <c r="K66" s="28"/>
    </row>
    <row r="67">
      <c r="A67" s="1" t="s">
        <v>18</v>
      </c>
      <c r="B67" s="1" t="s">
        <v>17</v>
      </c>
      <c r="C67" s="1">
        <v>2.0</v>
      </c>
      <c r="D67" s="1">
        <v>1.7707606743858E9</v>
      </c>
      <c r="E67" s="1">
        <v>0.6935956635</v>
      </c>
      <c r="J67" s="27"/>
      <c r="K67" s="28"/>
    </row>
    <row r="68">
      <c r="B68" s="1" t="s">
        <v>14</v>
      </c>
      <c r="C68" s="1" t="s">
        <v>280</v>
      </c>
      <c r="D68" s="1">
        <v>1.77076067967062E9</v>
      </c>
      <c r="E68" s="1">
        <v>1.0573650168</v>
      </c>
      <c r="J68" s="27"/>
      <c r="K68" s="28"/>
    </row>
    <row r="69">
      <c r="B69" s="1" t="s">
        <v>15</v>
      </c>
      <c r="C69" s="1" t="s">
        <v>280</v>
      </c>
      <c r="D69" s="1">
        <v>1.7707606841107E9</v>
      </c>
      <c r="E69" s="1">
        <v>0.9511330905</v>
      </c>
      <c r="J69" s="27"/>
      <c r="K69" s="28"/>
    </row>
    <row r="70">
      <c r="A70" s="1" t="s">
        <v>19</v>
      </c>
      <c r="B70" s="1" t="s">
        <v>17</v>
      </c>
      <c r="C70" s="1">
        <v>3.0</v>
      </c>
      <c r="D70" s="1">
        <v>1.77076069953157E9</v>
      </c>
      <c r="E70" s="1">
        <v>0.6652188953</v>
      </c>
      <c r="J70" s="27"/>
      <c r="K70" s="28"/>
    </row>
    <row r="71">
      <c r="B71" s="1" t="s">
        <v>14</v>
      </c>
      <c r="C71" s="1" t="s">
        <v>280</v>
      </c>
      <c r="D71" s="1">
        <v>1.77076070601151E9</v>
      </c>
      <c r="E71" s="1">
        <v>0.9292311212</v>
      </c>
      <c r="J71" s="27"/>
      <c r="K71" s="28"/>
    </row>
    <row r="72">
      <c r="B72" s="1" t="s">
        <v>15</v>
      </c>
      <c r="C72" s="1" t="s">
        <v>280</v>
      </c>
      <c r="D72" s="1">
        <v>1.77076070849159E9</v>
      </c>
      <c r="E72" s="1">
        <v>0.9478648152</v>
      </c>
      <c r="J72" s="27"/>
      <c r="K72" s="28"/>
    </row>
    <row r="73">
      <c r="A73" s="1" t="s">
        <v>22</v>
      </c>
      <c r="B73" s="1" t="s">
        <v>17</v>
      </c>
      <c r="C73" s="1">
        <v>4.0</v>
      </c>
      <c r="D73" s="1">
        <v>1.77076072329252E9</v>
      </c>
      <c r="E73" s="1">
        <v>0.6785552684</v>
      </c>
      <c r="J73" s="27"/>
      <c r="K73" s="28"/>
    </row>
    <row r="74">
      <c r="B74" s="1" t="s">
        <v>14</v>
      </c>
      <c r="C74" s="1" t="s">
        <v>280</v>
      </c>
      <c r="D74" s="1">
        <v>1.77076072901257E9</v>
      </c>
      <c r="E74" s="1">
        <v>0.8446965494</v>
      </c>
      <c r="J74" s="27"/>
      <c r="K74" s="28"/>
    </row>
    <row r="75">
      <c r="B75" s="1" t="s">
        <v>15</v>
      </c>
      <c r="C75" s="1" t="s">
        <v>280</v>
      </c>
      <c r="D75" s="1">
        <v>1.77076073185228E9</v>
      </c>
      <c r="E75" s="1">
        <v>0.7181710076</v>
      </c>
      <c r="J75" s="27"/>
      <c r="K75" s="28"/>
    </row>
    <row r="76">
      <c r="A76" s="1" t="s">
        <v>26</v>
      </c>
      <c r="B76" s="1" t="s">
        <v>17</v>
      </c>
      <c r="C76" s="1">
        <v>3.0</v>
      </c>
      <c r="D76" s="1">
        <v>1.77076074779403E9</v>
      </c>
      <c r="E76" s="1">
        <v>0.7404798108</v>
      </c>
      <c r="J76" s="27"/>
      <c r="K76" s="28"/>
    </row>
    <row r="77">
      <c r="B77" s="1" t="s">
        <v>14</v>
      </c>
      <c r="C77" s="1" t="s">
        <v>280</v>
      </c>
      <c r="D77" s="1">
        <v>1.77076075287306E9</v>
      </c>
      <c r="E77" s="1">
        <v>1.0419580617</v>
      </c>
      <c r="J77" s="27"/>
      <c r="K77" s="28"/>
    </row>
    <row r="78">
      <c r="B78" s="1" t="s">
        <v>15</v>
      </c>
      <c r="C78" s="1" t="s">
        <v>280</v>
      </c>
      <c r="D78" s="1">
        <v>1.77076075503312E9</v>
      </c>
      <c r="E78" s="1">
        <v>0.6789101833</v>
      </c>
      <c r="J78" s="27"/>
      <c r="K78" s="28"/>
    </row>
    <row r="79">
      <c r="A79" s="1" t="s">
        <v>32</v>
      </c>
      <c r="B79" s="1" t="s">
        <v>17</v>
      </c>
      <c r="C79" s="1">
        <v>1.0</v>
      </c>
      <c r="D79" s="1">
        <v>1.77076081011548E9</v>
      </c>
      <c r="E79" s="1">
        <v>0.722388690672348</v>
      </c>
      <c r="J79" s="27"/>
      <c r="K79" s="28"/>
    </row>
    <row r="80">
      <c r="B80" s="1" t="s">
        <v>14</v>
      </c>
      <c r="C80" s="1" t="s">
        <v>280</v>
      </c>
      <c r="D80" s="1">
        <v>1.77076081645007E9</v>
      </c>
      <c r="E80" s="1">
        <v>0.875038589623464</v>
      </c>
      <c r="J80" s="27"/>
      <c r="K80" s="28"/>
    </row>
    <row r="81">
      <c r="B81" s="1" t="s">
        <v>15</v>
      </c>
      <c r="C81" s="1" t="s">
        <v>280</v>
      </c>
      <c r="D81" s="1">
        <v>1.77076081966998E9</v>
      </c>
      <c r="E81" s="1">
        <v>1.39046467117004</v>
      </c>
      <c r="J81" s="27"/>
      <c r="K81" s="28"/>
    </row>
    <row r="82">
      <c r="A82" s="1" t="s">
        <v>33</v>
      </c>
      <c r="B82" s="1" t="s">
        <v>17</v>
      </c>
      <c r="C82" s="1">
        <v>2.0</v>
      </c>
      <c r="D82" s="1">
        <v>1.77076088315809E9</v>
      </c>
      <c r="E82" s="1">
        <v>0.6938557598</v>
      </c>
      <c r="J82" s="27"/>
      <c r="K82" s="28"/>
    </row>
    <row r="83">
      <c r="B83" s="1" t="s">
        <v>14</v>
      </c>
      <c r="C83" s="1" t="s">
        <v>280</v>
      </c>
      <c r="D83" s="1">
        <v>1.77076088971721E9</v>
      </c>
      <c r="E83" s="1">
        <v>0.8980291949</v>
      </c>
      <c r="J83" s="27"/>
      <c r="K83" s="28"/>
    </row>
    <row r="84">
      <c r="B84" s="1" t="s">
        <v>15</v>
      </c>
      <c r="C84" s="1" t="s">
        <v>280</v>
      </c>
      <c r="D84" s="1">
        <v>1.77076089295656E9</v>
      </c>
      <c r="E84" s="1">
        <v>0.7200478942</v>
      </c>
      <c r="J84" s="27"/>
      <c r="K84" s="28"/>
    </row>
    <row r="85">
      <c r="A85" s="1" t="s">
        <v>34</v>
      </c>
      <c r="B85" s="1" t="s">
        <v>17</v>
      </c>
      <c r="C85" s="1">
        <v>3.0</v>
      </c>
      <c r="D85" s="1">
        <v>1.770760921737E9</v>
      </c>
      <c r="E85" s="1">
        <v>0.6759991876</v>
      </c>
      <c r="J85" s="27"/>
      <c r="K85" s="28"/>
    </row>
    <row r="86">
      <c r="B86" s="1" t="s">
        <v>14</v>
      </c>
      <c r="C86" s="1" t="s">
        <v>280</v>
      </c>
      <c r="D86" s="1">
        <v>1.77076092783232E9</v>
      </c>
      <c r="E86" s="1">
        <v>1.0596259539</v>
      </c>
      <c r="J86" s="27"/>
      <c r="K86" s="28"/>
    </row>
    <row r="87">
      <c r="B87" s="1" t="s">
        <v>15</v>
      </c>
      <c r="C87" s="1" t="s">
        <v>280</v>
      </c>
      <c r="D87" s="1">
        <v>1.77076093003245E9</v>
      </c>
      <c r="E87" s="1">
        <v>0.7635727213</v>
      </c>
      <c r="J87" s="27"/>
      <c r="K87" s="28"/>
    </row>
    <row r="88">
      <c r="A88" s="1" t="s">
        <v>35</v>
      </c>
      <c r="B88" s="1" t="s">
        <v>17</v>
      </c>
      <c r="C88" s="1">
        <v>1.0</v>
      </c>
      <c r="D88" s="1">
        <v>1.77076099889855E9</v>
      </c>
      <c r="E88" s="1">
        <v>0.617555902263986</v>
      </c>
      <c r="J88" s="27"/>
      <c r="K88" s="28"/>
    </row>
    <row r="89">
      <c r="B89" s="1" t="s">
        <v>14</v>
      </c>
      <c r="C89" s="1" t="s">
        <v>280</v>
      </c>
      <c r="D89" s="1">
        <v>1.77076100439885E9</v>
      </c>
      <c r="E89" s="1">
        <v>1.05526514702039</v>
      </c>
      <c r="J89" s="27"/>
      <c r="K89" s="28"/>
    </row>
    <row r="90">
      <c r="B90" s="1" t="s">
        <v>15</v>
      </c>
      <c r="C90" s="1" t="s">
        <v>280</v>
      </c>
      <c r="D90" s="1">
        <v>1.77076100745897E9</v>
      </c>
      <c r="E90" s="1">
        <v>0.7068303251794</v>
      </c>
      <c r="J90" s="27"/>
      <c r="K90" s="28"/>
    </row>
    <row r="91">
      <c r="A91" s="1" t="s">
        <v>36</v>
      </c>
      <c r="B91" s="1" t="s">
        <v>17</v>
      </c>
      <c r="C91" s="1">
        <v>1.0</v>
      </c>
      <c r="D91" s="1">
        <v>1.77076102509399E9</v>
      </c>
      <c r="E91" s="1">
        <v>0.648114875180265</v>
      </c>
      <c r="J91" s="27"/>
      <c r="K91" s="28"/>
    </row>
    <row r="92">
      <c r="B92" s="1" t="s">
        <v>14</v>
      </c>
      <c r="C92" s="1" t="s">
        <v>280</v>
      </c>
      <c r="D92" s="1">
        <v>1.77076103109608E9</v>
      </c>
      <c r="E92" s="1">
        <v>0.898316619561315</v>
      </c>
      <c r="J92" s="27"/>
      <c r="K92" s="28"/>
    </row>
    <row r="93">
      <c r="B93" s="1" t="s">
        <v>15</v>
      </c>
      <c r="C93" s="1" t="s">
        <v>280</v>
      </c>
      <c r="D93" s="1">
        <v>1.77076103373896E9</v>
      </c>
      <c r="E93" s="1">
        <v>0.729357808900581</v>
      </c>
      <c r="J93" s="27"/>
      <c r="K93" s="28"/>
    </row>
    <row r="94">
      <c r="A94" s="1" t="s">
        <v>37</v>
      </c>
      <c r="B94" s="1" t="s">
        <v>17</v>
      </c>
      <c r="C94" s="1">
        <v>2.0</v>
      </c>
      <c r="D94" s="1">
        <v>1.77076105009919E9</v>
      </c>
      <c r="E94" s="1">
        <v>0.6756369776</v>
      </c>
      <c r="J94" s="27"/>
      <c r="K94" s="28"/>
    </row>
    <row r="95">
      <c r="B95" s="1" t="s">
        <v>14</v>
      </c>
      <c r="C95" s="1" t="s">
        <v>280</v>
      </c>
      <c r="D95" s="1">
        <v>1.77076105599936E9</v>
      </c>
      <c r="E95" s="1">
        <v>1.0959080646</v>
      </c>
      <c r="J95" s="27"/>
      <c r="K95" s="28"/>
    </row>
    <row r="96">
      <c r="B96" s="1" t="s">
        <v>15</v>
      </c>
      <c r="C96" s="1" t="s">
        <v>280</v>
      </c>
      <c r="D96" s="1">
        <v>1.77076105845936E9</v>
      </c>
      <c r="E96" s="1">
        <v>0.774511134</v>
      </c>
      <c r="J96" s="27"/>
      <c r="K96" s="28"/>
      <c r="N96" s="33"/>
      <c r="O96" s="33"/>
    </row>
    <row r="97">
      <c r="A97" s="1" t="s">
        <v>38</v>
      </c>
      <c r="B97" s="1" t="s">
        <v>17</v>
      </c>
      <c r="C97" s="22">
        <v>4.0</v>
      </c>
      <c r="D97" s="1">
        <v>1.7707610725371E9</v>
      </c>
      <c r="E97" s="1">
        <v>0.7324887419</v>
      </c>
      <c r="J97" s="27"/>
      <c r="K97" s="28"/>
      <c r="N97" s="33"/>
      <c r="O97" s="33"/>
    </row>
    <row r="98">
      <c r="B98" s="1" t="s">
        <v>14</v>
      </c>
      <c r="C98" s="1" t="s">
        <v>280</v>
      </c>
      <c r="D98" s="1">
        <v>1.77076107763952E9</v>
      </c>
      <c r="E98" s="1">
        <v>1.0326041155</v>
      </c>
      <c r="J98" s="27"/>
      <c r="K98" s="28"/>
      <c r="N98" s="33"/>
      <c r="O98" s="33"/>
    </row>
    <row r="99">
      <c r="B99" s="1" t="s">
        <v>15</v>
      </c>
      <c r="C99" s="1" t="s">
        <v>280</v>
      </c>
      <c r="D99" s="1">
        <v>1.77076108015959E9</v>
      </c>
      <c r="E99" s="1">
        <v>0.7585566574</v>
      </c>
      <c r="J99" s="27"/>
      <c r="K99" s="28"/>
      <c r="N99" s="33"/>
      <c r="O99" s="33"/>
    </row>
    <row r="100">
      <c r="A100" s="1" t="s">
        <v>41</v>
      </c>
      <c r="B100" s="1" t="s">
        <v>17</v>
      </c>
      <c r="C100" s="22">
        <v>2.0</v>
      </c>
      <c r="D100" s="1">
        <v>1.77076109744053E9</v>
      </c>
      <c r="E100" s="1">
        <v>0.6739674954</v>
      </c>
      <c r="J100" s="27"/>
      <c r="K100" s="28"/>
      <c r="N100" s="33"/>
      <c r="O100" s="33"/>
    </row>
    <row r="101">
      <c r="B101" s="1" t="s">
        <v>14</v>
      </c>
      <c r="C101" s="1" t="s">
        <v>280</v>
      </c>
      <c r="D101" s="1">
        <v>1.77076110246019E9</v>
      </c>
      <c r="E101" s="1">
        <v>0.9697900619</v>
      </c>
      <c r="J101" s="27"/>
      <c r="K101" s="28"/>
      <c r="N101" s="33"/>
      <c r="O101" s="33"/>
    </row>
    <row r="102">
      <c r="B102" s="1" t="s">
        <v>15</v>
      </c>
      <c r="C102" s="1" t="s">
        <v>280</v>
      </c>
      <c r="D102" s="1">
        <v>1.77076110455493E9</v>
      </c>
      <c r="E102" s="1">
        <v>1.1288435358</v>
      </c>
      <c r="J102" s="27"/>
      <c r="K102" s="28"/>
      <c r="N102" s="33"/>
      <c r="O102" s="33"/>
    </row>
    <row r="103">
      <c r="A103" s="1" t="s">
        <v>42</v>
      </c>
      <c r="B103" s="1" t="s">
        <v>17</v>
      </c>
      <c r="C103" s="22">
        <v>3.0</v>
      </c>
      <c r="D103" s="1">
        <v>1.77076114726132E9</v>
      </c>
      <c r="E103" s="1">
        <v>0.6695189558</v>
      </c>
      <c r="J103" s="27"/>
      <c r="K103" s="28"/>
      <c r="N103" s="33"/>
      <c r="O103" s="33"/>
    </row>
    <row r="104">
      <c r="B104" s="1" t="s">
        <v>14</v>
      </c>
      <c r="C104" s="1" t="s">
        <v>280</v>
      </c>
      <c r="D104" s="1">
        <v>1.77076115268054E9</v>
      </c>
      <c r="E104" s="1">
        <v>0.8664588519</v>
      </c>
      <c r="J104" s="27"/>
      <c r="K104" s="28"/>
      <c r="N104" s="33"/>
      <c r="O104" s="33"/>
    </row>
    <row r="105">
      <c r="B105" s="1" t="s">
        <v>15</v>
      </c>
      <c r="C105" s="1" t="s">
        <v>280</v>
      </c>
      <c r="D105" s="22">
        <v>1.77076115752053E9</v>
      </c>
      <c r="E105" s="22">
        <v>1.0378559732</v>
      </c>
      <c r="J105" s="27"/>
      <c r="K105" s="28"/>
      <c r="N105" s="33"/>
      <c r="O105" s="33"/>
    </row>
    <row r="106">
      <c r="A106" s="1" t="s">
        <v>43</v>
      </c>
      <c r="B106" s="1" t="s">
        <v>17</v>
      </c>
      <c r="C106" s="22">
        <v>5.0</v>
      </c>
      <c r="D106" s="1">
        <v>1.77076117315571E9</v>
      </c>
      <c r="E106" s="1">
        <v>0.7058638883</v>
      </c>
      <c r="J106" s="27"/>
      <c r="K106" s="28"/>
      <c r="N106" s="33"/>
      <c r="O106" s="33"/>
    </row>
    <row r="107">
      <c r="B107" s="1" t="s">
        <v>14</v>
      </c>
      <c r="C107" s="1" t="s">
        <v>280</v>
      </c>
      <c r="D107" s="1">
        <v>1.77076118008072E9</v>
      </c>
      <c r="E107" s="1">
        <v>1.0436391403</v>
      </c>
      <c r="J107" s="27"/>
      <c r="K107" s="28"/>
      <c r="N107" s="33"/>
      <c r="O107" s="33"/>
    </row>
    <row r="108">
      <c r="B108" s="1" t="s">
        <v>15</v>
      </c>
      <c r="C108" s="1" t="s">
        <v>280</v>
      </c>
      <c r="D108" s="1">
        <v>1.77076118254112E9</v>
      </c>
      <c r="E108" s="1">
        <v>0.7070192763</v>
      </c>
      <c r="J108" s="27"/>
      <c r="K108" s="28"/>
      <c r="N108" s="33"/>
      <c r="O108" s="33"/>
    </row>
    <row r="109">
      <c r="A109" s="1" t="s">
        <v>44</v>
      </c>
      <c r="B109" s="1" t="s">
        <v>17</v>
      </c>
      <c r="C109" s="1">
        <v>2.0</v>
      </c>
      <c r="D109" s="1">
        <v>1.77076121205828E9</v>
      </c>
      <c r="E109" s="1">
        <v>0.6993529493</v>
      </c>
      <c r="J109" s="27"/>
      <c r="K109" s="28"/>
    </row>
    <row r="110">
      <c r="B110" s="1" t="s">
        <v>14</v>
      </c>
      <c r="C110" s="1" t="s">
        <v>280</v>
      </c>
      <c r="D110" s="1">
        <v>1.77076121985653E9</v>
      </c>
      <c r="E110" s="1">
        <v>0.8183505199</v>
      </c>
      <c r="J110" s="27"/>
      <c r="K110" s="28"/>
    </row>
    <row r="111">
      <c r="B111" s="1" t="s">
        <v>15</v>
      </c>
      <c r="C111" s="1" t="s">
        <v>280</v>
      </c>
      <c r="D111" s="1">
        <v>1.77076122194129E9</v>
      </c>
      <c r="E111" s="1">
        <v>0.7157412862</v>
      </c>
      <c r="J111" s="27"/>
      <c r="K111" s="28"/>
    </row>
    <row r="112">
      <c r="A112" s="26" t="s">
        <v>339</v>
      </c>
      <c r="C112" s="1" t="s">
        <v>280</v>
      </c>
      <c r="J112" s="27"/>
      <c r="K112" s="28"/>
    </row>
    <row r="113">
      <c r="A113" s="1" t="s">
        <v>249</v>
      </c>
      <c r="B113" s="1" t="s">
        <v>17</v>
      </c>
      <c r="C113" s="1">
        <v>4.0</v>
      </c>
      <c r="D113" s="1">
        <v>1.75682453299531E9</v>
      </c>
      <c r="E113" s="1">
        <v>0.7631135756</v>
      </c>
      <c r="J113" s="27"/>
    </row>
    <row r="114">
      <c r="B114" s="1" t="s">
        <v>14</v>
      </c>
      <c r="C114" s="1" t="s">
        <v>280</v>
      </c>
      <c r="D114" s="1">
        <v>1.75682453697133E9</v>
      </c>
      <c r="E114" s="1">
        <v>0.7938452464</v>
      </c>
      <c r="J114" s="27"/>
    </row>
    <row r="115">
      <c r="A115" s="1" t="s">
        <v>250</v>
      </c>
      <c r="B115" s="1" t="s">
        <v>17</v>
      </c>
      <c r="C115" s="1">
        <v>5.0</v>
      </c>
      <c r="D115" s="1">
        <v>1.75682459277596E9</v>
      </c>
      <c r="E115" s="1">
        <v>0.7634124267</v>
      </c>
      <c r="J115" s="27"/>
    </row>
    <row r="116">
      <c r="B116" s="1" t="s">
        <v>14</v>
      </c>
      <c r="C116" s="1" t="s">
        <v>280</v>
      </c>
      <c r="D116" s="1">
        <v>1.75682459695601E9</v>
      </c>
      <c r="E116" s="1">
        <v>0.8280248969</v>
      </c>
      <c r="J116" s="27"/>
    </row>
    <row r="117">
      <c r="A117" s="1" t="s">
        <v>251</v>
      </c>
      <c r="B117" s="1" t="s">
        <v>17</v>
      </c>
      <c r="C117" s="1">
        <v>3.0</v>
      </c>
      <c r="D117" s="1">
        <v>1.75682491629926E9</v>
      </c>
      <c r="E117" s="1">
        <v>0.8149010226</v>
      </c>
      <c r="F117" s="2" t="s">
        <v>340</v>
      </c>
      <c r="J117" s="27"/>
    </row>
    <row r="118">
      <c r="B118" s="1" t="s">
        <v>14</v>
      </c>
      <c r="C118" s="1" t="s">
        <v>280</v>
      </c>
      <c r="D118" s="1">
        <v>1.75682491949485E9</v>
      </c>
      <c r="E118" s="1">
        <v>1.1734408999</v>
      </c>
      <c r="J118" s="27"/>
    </row>
    <row r="119">
      <c r="A119" s="1" t="s">
        <v>253</v>
      </c>
      <c r="B119" s="1" t="s">
        <v>17</v>
      </c>
      <c r="C119" s="1">
        <v>4.0</v>
      </c>
      <c r="D119" s="1">
        <v>1.7568251097963E9</v>
      </c>
      <c r="E119" s="1">
        <v>0.7402349295</v>
      </c>
      <c r="J119" s="27"/>
    </row>
    <row r="120">
      <c r="B120" s="1" t="s">
        <v>14</v>
      </c>
      <c r="C120" s="1" t="s">
        <v>280</v>
      </c>
      <c r="D120" s="1">
        <v>1.75682511334174E9</v>
      </c>
      <c r="E120" s="1">
        <v>1.2271572646</v>
      </c>
      <c r="J120" s="27"/>
    </row>
    <row r="121">
      <c r="A121" s="1" t="s">
        <v>254</v>
      </c>
      <c r="B121" s="1" t="s">
        <v>17</v>
      </c>
      <c r="C121" s="1">
        <v>1.0</v>
      </c>
      <c r="D121" s="1">
        <v>1.75682517824207E9</v>
      </c>
      <c r="E121" s="1">
        <v>0.760669434604679</v>
      </c>
      <c r="J121" s="27"/>
    </row>
    <row r="122">
      <c r="B122" s="1" t="s">
        <v>14</v>
      </c>
      <c r="C122" s="1" t="s">
        <v>280</v>
      </c>
      <c r="D122" s="1">
        <v>1.75682518191662E9</v>
      </c>
      <c r="E122" s="1">
        <v>1.09487519747564</v>
      </c>
      <c r="J122" s="27"/>
    </row>
    <row r="123">
      <c r="A123" s="1" t="s">
        <v>255</v>
      </c>
      <c r="B123" s="1" t="s">
        <v>17</v>
      </c>
      <c r="C123" s="1">
        <v>2.0</v>
      </c>
      <c r="D123" s="1">
        <v>1.75682521230013E9</v>
      </c>
      <c r="E123" s="1">
        <v>0.62830973</v>
      </c>
      <c r="F123" s="1" t="s">
        <v>319</v>
      </c>
      <c r="J123" s="27"/>
    </row>
    <row r="124">
      <c r="B124" s="1" t="s">
        <v>14</v>
      </c>
      <c r="C124" s="1" t="s">
        <v>280</v>
      </c>
      <c r="D124" s="1">
        <v>1.75682521977721E9</v>
      </c>
      <c r="E124" s="1">
        <v>1.0746031465</v>
      </c>
      <c r="J124" s="27"/>
    </row>
    <row r="125">
      <c r="A125" s="1" t="s">
        <v>257</v>
      </c>
      <c r="B125" s="1" t="s">
        <v>17</v>
      </c>
      <c r="C125" s="1">
        <v>1.0</v>
      </c>
      <c r="D125" s="1">
        <v>1.75682526991821E9</v>
      </c>
      <c r="E125" s="1">
        <v>0.767427665351752</v>
      </c>
      <c r="J125" s="27"/>
    </row>
    <row r="126">
      <c r="B126" s="1" t="s">
        <v>14</v>
      </c>
      <c r="C126" s="1" t="s">
        <v>280</v>
      </c>
      <c r="D126" s="1">
        <v>1.75682527266464E9</v>
      </c>
      <c r="E126" s="1">
        <v>1.14565358823941</v>
      </c>
      <c r="J126" s="27"/>
    </row>
    <row r="127">
      <c r="A127" s="1" t="s">
        <v>258</v>
      </c>
      <c r="B127" s="1" t="s">
        <v>17</v>
      </c>
      <c r="C127" s="1">
        <v>2.0</v>
      </c>
      <c r="D127" s="1">
        <v>1.75682534141829E9</v>
      </c>
      <c r="E127" s="1">
        <v>0.8090669306</v>
      </c>
      <c r="J127" s="27"/>
    </row>
    <row r="128">
      <c r="B128" s="1" t="s">
        <v>14</v>
      </c>
      <c r="C128" s="1" t="s">
        <v>280</v>
      </c>
      <c r="D128" s="1">
        <v>1.75682534486518E9</v>
      </c>
      <c r="E128" s="1">
        <v>0.9732260447</v>
      </c>
      <c r="J128" s="27"/>
    </row>
    <row r="129">
      <c r="A129" s="1" t="s">
        <v>259</v>
      </c>
      <c r="B129" s="1" t="s">
        <v>17</v>
      </c>
      <c r="C129" s="1">
        <v>5.0</v>
      </c>
      <c r="D129" s="1">
        <v>1.75682538243879E9</v>
      </c>
      <c r="E129" s="1">
        <v>0.834754076</v>
      </c>
      <c r="J129" s="27"/>
    </row>
    <row r="130">
      <c r="B130" s="1" t="s">
        <v>14</v>
      </c>
      <c r="C130" s="1" t="s">
        <v>280</v>
      </c>
      <c r="D130" s="1">
        <v>1.75682538541891E9</v>
      </c>
      <c r="E130" s="1">
        <v>0.9683953042</v>
      </c>
      <c r="J130" s="27"/>
    </row>
    <row r="131">
      <c r="A131" s="1" t="s">
        <v>260</v>
      </c>
      <c r="B131" s="1" t="s">
        <v>17</v>
      </c>
      <c r="C131" s="1">
        <v>3.0</v>
      </c>
      <c r="D131" s="1">
        <v>1.75682541408463E9</v>
      </c>
      <c r="E131" s="1">
        <v>0.7852399325</v>
      </c>
      <c r="J131" s="27"/>
    </row>
    <row r="132">
      <c r="B132" s="1" t="s">
        <v>14</v>
      </c>
      <c r="C132" s="1" t="s">
        <v>280</v>
      </c>
      <c r="D132" s="1">
        <v>1.75682541676466E9</v>
      </c>
      <c r="E132" s="1">
        <v>0.956274921</v>
      </c>
      <c r="J132" s="27"/>
    </row>
    <row r="133">
      <c r="A133" s="1" t="s">
        <v>261</v>
      </c>
      <c r="B133" s="1" t="s">
        <v>17</v>
      </c>
      <c r="C133" s="1">
        <v>1.0</v>
      </c>
      <c r="D133" s="1">
        <v>1.7568254733811E9</v>
      </c>
      <c r="E133" s="1">
        <v>0.778745713440709</v>
      </c>
      <c r="J133" s="27"/>
    </row>
    <row r="134">
      <c r="B134" s="1" t="s">
        <v>14</v>
      </c>
      <c r="C134" s="1" t="s">
        <v>280</v>
      </c>
      <c r="D134" s="1">
        <v>1.75682547658597E9</v>
      </c>
      <c r="E134" s="1">
        <v>1.08833633722298</v>
      </c>
      <c r="J134" s="27"/>
    </row>
    <row r="135">
      <c r="A135" s="1" t="s">
        <v>262</v>
      </c>
      <c r="B135" s="1" t="s">
        <v>17</v>
      </c>
      <c r="C135" s="1">
        <v>4.0</v>
      </c>
      <c r="D135" s="1">
        <v>1.75682550542214E9</v>
      </c>
      <c r="E135" s="1">
        <v>0.7791491994</v>
      </c>
      <c r="J135" s="27"/>
    </row>
    <row r="136">
      <c r="B136" s="1" t="s">
        <v>14</v>
      </c>
      <c r="C136" s="1" t="s">
        <v>280</v>
      </c>
      <c r="D136" s="1">
        <v>1.75682550954696E9</v>
      </c>
      <c r="E136" s="1">
        <v>1.0405958084</v>
      </c>
      <c r="J136" s="27"/>
    </row>
    <row r="137">
      <c r="A137" s="1" t="s">
        <v>263</v>
      </c>
      <c r="B137" s="1" t="s">
        <v>17</v>
      </c>
      <c r="C137" s="1">
        <v>2.0</v>
      </c>
      <c r="D137" s="1">
        <v>1.7568255777641E9</v>
      </c>
      <c r="E137" s="1">
        <v>0.728108161</v>
      </c>
      <c r="J137" s="27"/>
    </row>
    <row r="138">
      <c r="B138" s="1" t="s">
        <v>14</v>
      </c>
      <c r="C138" s="1" t="s">
        <v>280</v>
      </c>
      <c r="D138" s="1">
        <v>1.75682558088333E9</v>
      </c>
      <c r="E138" s="1">
        <v>1.1061910473</v>
      </c>
      <c r="J138" s="27"/>
    </row>
    <row r="139">
      <c r="A139" s="1" t="s">
        <v>264</v>
      </c>
      <c r="B139" s="1" t="s">
        <v>17</v>
      </c>
      <c r="C139" s="1">
        <v>4.0</v>
      </c>
      <c r="D139" s="1">
        <v>1.75682575677158E9</v>
      </c>
      <c r="E139" s="1">
        <v>0.7360634351</v>
      </c>
      <c r="J139" s="27"/>
    </row>
    <row r="140">
      <c r="B140" s="1" t="s">
        <v>14</v>
      </c>
      <c r="C140" s="1" t="s">
        <v>280</v>
      </c>
      <c r="D140" s="1">
        <v>1.75682575996662E9</v>
      </c>
      <c r="E140" s="1">
        <v>0.9018015842</v>
      </c>
      <c r="J140" s="27"/>
    </row>
    <row r="141">
      <c r="A141" s="1" t="s">
        <v>266</v>
      </c>
      <c r="B141" s="1" t="s">
        <v>17</v>
      </c>
      <c r="C141" s="1">
        <v>2.0</v>
      </c>
      <c r="D141" s="1">
        <v>1.7568258229532E9</v>
      </c>
      <c r="E141" s="1">
        <v>0.7616601807</v>
      </c>
      <c r="J141" s="27"/>
    </row>
    <row r="142">
      <c r="B142" s="1" t="s">
        <v>14</v>
      </c>
      <c r="C142" s="1" t="s">
        <v>280</v>
      </c>
      <c r="D142" s="1">
        <v>1.75682582750963E9</v>
      </c>
      <c r="E142" s="1">
        <v>1.110426904</v>
      </c>
      <c r="J142" s="27"/>
    </row>
    <row r="143">
      <c r="A143" s="1" t="s">
        <v>267</v>
      </c>
      <c r="B143" s="1" t="s">
        <v>17</v>
      </c>
      <c r="C143" s="1">
        <v>1.0</v>
      </c>
      <c r="D143" s="1">
        <v>1.75682590824919E9</v>
      </c>
      <c r="E143" s="1">
        <v>0.746394721629512</v>
      </c>
      <c r="J143" s="27"/>
    </row>
    <row r="144">
      <c r="B144" s="1" t="s">
        <v>14</v>
      </c>
      <c r="C144" s="1" t="s">
        <v>280</v>
      </c>
      <c r="D144" s="1">
        <v>1.75682591161417E9</v>
      </c>
      <c r="E144" s="1">
        <v>1.0645070887192</v>
      </c>
      <c r="J144" s="27"/>
    </row>
    <row r="145">
      <c r="A145" s="1" t="s">
        <v>268</v>
      </c>
      <c r="B145" s="1" t="s">
        <v>17</v>
      </c>
      <c r="C145" s="1">
        <v>3.0</v>
      </c>
      <c r="D145" s="1">
        <v>1.75682594352992E9</v>
      </c>
      <c r="E145" s="1">
        <v>0.7589043801</v>
      </c>
      <c r="F145" s="1" t="s">
        <v>319</v>
      </c>
      <c r="J145" s="27"/>
    </row>
    <row r="146">
      <c r="B146" s="1" t="s">
        <v>14</v>
      </c>
      <c r="C146" s="1" t="s">
        <v>280</v>
      </c>
      <c r="D146" s="1">
        <v>1.75682594641469E9</v>
      </c>
      <c r="E146" s="1">
        <v>1.8035336372</v>
      </c>
      <c r="J146" s="27"/>
    </row>
    <row r="147">
      <c r="A147" s="1" t="s">
        <v>269</v>
      </c>
      <c r="B147" s="1" t="s">
        <v>17</v>
      </c>
      <c r="C147" s="1">
        <v>2.0</v>
      </c>
      <c r="D147" s="1">
        <v>1.75682597345678E9</v>
      </c>
      <c r="E147" s="1">
        <v>0.7706837071</v>
      </c>
      <c r="J147" s="27"/>
    </row>
    <row r="148">
      <c r="B148" s="1" t="s">
        <v>14</v>
      </c>
      <c r="C148" s="1" t="s">
        <v>280</v>
      </c>
      <c r="D148" s="1">
        <v>1.75682597667404E9</v>
      </c>
      <c r="E148" s="1">
        <v>1.4951655779</v>
      </c>
      <c r="J148" s="27"/>
    </row>
    <row r="149">
      <c r="A149" s="1" t="s">
        <v>270</v>
      </c>
      <c r="B149" s="1" t="s">
        <v>17</v>
      </c>
      <c r="C149" s="1">
        <v>5.0</v>
      </c>
      <c r="D149" s="1">
        <v>1.7568260238563E9</v>
      </c>
      <c r="E149" s="1">
        <v>0.7332467526</v>
      </c>
      <c r="J149" s="27"/>
    </row>
    <row r="150">
      <c r="B150" s="1" t="s">
        <v>14</v>
      </c>
      <c r="C150" s="1" t="s">
        <v>280</v>
      </c>
      <c r="D150" s="1">
        <v>1.75682602709609E9</v>
      </c>
      <c r="E150" s="1">
        <v>1.1810047602</v>
      </c>
      <c r="J150" s="27"/>
    </row>
    <row r="151">
      <c r="A151" s="1" t="s">
        <v>271</v>
      </c>
      <c r="B151" s="1" t="s">
        <v>17</v>
      </c>
      <c r="C151" s="1">
        <v>1.0</v>
      </c>
      <c r="D151" s="1">
        <v>1.75682606839686E9</v>
      </c>
      <c r="E151" s="1">
        <v>0.731822272290115</v>
      </c>
      <c r="J151" s="27"/>
    </row>
    <row r="152">
      <c r="B152" s="1" t="s">
        <v>14</v>
      </c>
      <c r="C152" s="1" t="s">
        <v>280</v>
      </c>
      <c r="D152" s="1">
        <v>1.75682607151843E9</v>
      </c>
      <c r="E152" s="1">
        <v>0.85893421798748</v>
      </c>
      <c r="J152" s="27"/>
    </row>
    <row r="153">
      <c r="J153" s="27"/>
    </row>
    <row r="154">
      <c r="J154" s="27"/>
    </row>
    <row r="155">
      <c r="J155" s="27"/>
    </row>
    <row r="156">
      <c r="J156" s="27"/>
    </row>
    <row r="157">
      <c r="J157" s="27"/>
    </row>
    <row r="158">
      <c r="J158" s="27"/>
    </row>
    <row r="159">
      <c r="J159" s="27"/>
    </row>
    <row r="160">
      <c r="J160" s="27"/>
    </row>
  </sheetData>
  <mergeCells count="4">
    <mergeCell ref="P22:Q22"/>
    <mergeCell ref="S22:T22"/>
    <mergeCell ref="V22:W22"/>
    <mergeCell ref="Y22:Z22"/>
  </mergeCells>
  <conditionalFormatting sqref="J3:J160">
    <cfRule type="cellIs" dxfId="0" priority="1" operator="lessThan">
      <formula>0.005</formula>
    </cfRule>
  </conditionalFormatting>
  <conditionalFormatting sqref="K3:K112">
    <cfRule type="cellIs" dxfId="0" priority="2" operator="lessThan">
      <formula>5</formula>
    </cfRule>
  </conditionalFormatting>
  <conditionalFormatting sqref="F3:F1000">
    <cfRule type="notContainsBlanks" dxfId="1" priority="3">
      <formula>LEN(TRIM(F3))&gt;0</formula>
    </cfRule>
  </conditionalFormatting>
  <conditionalFormatting sqref="F150">
    <cfRule type="notContainsBlanks" dxfId="0" priority="4">
      <formula>LEN(TRIM(F150))&gt;0</formula>
    </cfRule>
  </conditionalFormatting>
  <conditionalFormatting sqref="C1:C1000">
    <cfRule type="cellIs" dxfId="0" priority="5" operator="equal">
      <formula>1</formula>
    </cfRule>
  </conditionalFormatting>
  <conditionalFormatting sqref="C1:C1000">
    <cfRule type="cellIs" dxfId="2" priority="6" operator="equal">
      <formula>2</formula>
    </cfRule>
  </conditionalFormatting>
  <conditionalFormatting sqref="C1:C1000">
    <cfRule type="cellIs" dxfId="3" priority="7" operator="equal">
      <formula>3</formula>
    </cfRule>
  </conditionalFormatting>
  <conditionalFormatting sqref="C1:C1000">
    <cfRule type="cellIs" dxfId="4" priority="8" operator="equal">
      <formula>4</formula>
    </cfRule>
  </conditionalFormatting>
  <conditionalFormatting sqref="C1:C1000">
    <cfRule type="cellIs" dxfId="5" priority="9" operator="equal">
      <formula>5</formula>
    </cfRule>
  </conditionalFormatting>
  <conditionalFormatting sqref="C1:C1000">
    <cfRule type="cellIs" dxfId="6" priority="10" operator="equal">
      <formula>"."</formula>
    </cfRule>
  </conditionalFormatting>
  <dataValidations>
    <dataValidation type="list" allowBlank="1" showErrorMessage="1" sqref="B3:B62 B64:B111 B113:B152">
      <formula1>"Cardboard,Acrylic,Tile"</formula1>
    </dataValidation>
  </dataValidations>
  <drawing r:id="rId1"/>
</worksheet>
</file>